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alisonandrade/Library/CloudStorage/GoogleDrive-alisona8@usc.edu/My Drive/alison20/SERC/optical_reef/systems_eng/sheets/"/>
    </mc:Choice>
  </mc:AlternateContent>
  <xr:revisionPtr revIDLastSave="0" documentId="13_ncr:1_{FC3F2149-A74D-2E46-BFD0-E4F4B03C8EE7}" xr6:coauthVersionLast="47" xr6:coauthVersionMax="47" xr10:uidLastSave="{00000000-0000-0000-0000-000000000000}"/>
  <bookViews>
    <workbookView xWindow="0" yWindow="740" windowWidth="29400" windowHeight="16900" activeTab="1" xr2:uid="{00000000-000D-0000-FFFF-FFFF00000000}"/>
  </bookViews>
  <sheets>
    <sheet name="main" sheetId="9" r:id="rId1"/>
    <sheet name="Payload" sheetId="17" r:id="rId2"/>
    <sheet name="SC bus" sheetId="11" r:id="rId3"/>
    <sheet name="Power" sheetId="14" r:id="rId4"/>
    <sheet name="Thermal" sheetId="15" r:id="rId5"/>
    <sheet name="Instrumentation" sheetId="16" r:id="rId6"/>
    <sheet name="ACS" sheetId="2" r:id="rId7"/>
    <sheet name="Mirror mass" sheetId="6" r:id="rId8"/>
    <sheet name="mirror_trades0" sheetId="5" r:id="rId9"/>
    <sheet name="Misc" sheetId="10" r:id="rId10"/>
    <sheet name="Intertia+torque" sheetId="8" r:id="rId11"/>
    <sheet name="Launch systems" sheetId="18" r:id="rId12"/>
    <sheet name="Sheet50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9" l="1"/>
  <c r="C10" i="17"/>
  <c r="B10" i="17"/>
  <c r="B6" i="9" l="1"/>
  <c r="B4" i="9"/>
  <c r="B5" i="9"/>
  <c r="F7" i="9" l="1"/>
  <c r="F6" i="9"/>
  <c r="C6" i="11"/>
  <c r="C5" i="11"/>
  <c r="B11" i="2"/>
  <c r="C11" i="2"/>
  <c r="C3" i="11" s="1"/>
  <c r="C9" i="11" s="1"/>
  <c r="F3" i="9" s="1"/>
  <c r="B4" i="11"/>
  <c r="B8" i="11"/>
  <c r="D8" i="9" s="1"/>
  <c r="B5" i="11"/>
  <c r="B7" i="16"/>
  <c r="B6" i="11" s="1"/>
  <c r="D6" i="9"/>
  <c r="D7" i="9"/>
  <c r="C7" i="16"/>
  <c r="F5" i="9" s="1"/>
  <c r="D5" i="9" l="1"/>
  <c r="C13" i="11"/>
  <c r="C14" i="11"/>
  <c r="B3" i="6"/>
  <c r="B2" i="6"/>
  <c r="F9" i="9"/>
  <c r="D9" i="9" l="1"/>
  <c r="B3" i="11"/>
  <c r="E8" i="9"/>
  <c r="B4" i="6"/>
  <c r="B7" i="6"/>
  <c r="B5" i="6"/>
  <c r="G6" i="5"/>
  <c r="G5" i="5"/>
  <c r="G4" i="5"/>
  <c r="G3" i="5"/>
  <c r="G2" i="5"/>
  <c r="C21" i="11" l="1"/>
  <c r="E21" i="11" s="1"/>
  <c r="F21" i="11" s="1"/>
  <c r="B4" i="14"/>
  <c r="B8" i="9"/>
  <c r="G5" i="9"/>
  <c r="E6" i="9"/>
  <c r="E7" i="9"/>
  <c r="C20" i="11"/>
  <c r="E20" i="11" s="1"/>
  <c r="F20" i="11" s="1"/>
  <c r="C22" i="11"/>
  <c r="E22" i="11" s="1"/>
  <c r="F22" i="11" s="1"/>
  <c r="D9" i="6"/>
  <c r="G9" i="9"/>
  <c r="E9" i="9"/>
  <c r="D6" i="6"/>
  <c r="F6" i="6" s="1"/>
  <c r="D7" i="6"/>
  <c r="F7" i="6" s="1"/>
  <c r="B6" i="6"/>
  <c r="D8" i="6"/>
  <c r="F8" i="6" s="1"/>
  <c r="D3" i="6"/>
  <c r="F3" i="6" s="1"/>
  <c r="D5" i="6"/>
  <c r="F5" i="6" s="1"/>
  <c r="D4" i="6"/>
  <c r="F4" i="6" s="1"/>
  <c r="F23" i="11" l="1"/>
  <c r="B8" i="6"/>
  <c r="B3" i="17"/>
  <c r="F9" i="6"/>
  <c r="D2" i="9" l="1"/>
  <c r="F2" i="9" s="1"/>
  <c r="D14" i="11"/>
  <c r="D13" i="11"/>
  <c r="E5" i="9"/>
  <c r="D13" i="9" l="1"/>
  <c r="F13" i="9" s="1"/>
  <c r="E2" i="9"/>
  <c r="B7" i="11"/>
  <c r="B9" i="11" s="1"/>
  <c r="D4" i="9"/>
  <c r="E4" i="9" l="1"/>
  <c r="D3" i="9"/>
  <c r="E13" i="9"/>
  <c r="B8" i="10"/>
  <c r="G13" i="9"/>
  <c r="D10" i="9"/>
  <c r="E3" i="9" l="1"/>
  <c r="B3" i="8" s="1"/>
  <c r="E10" i="9"/>
  <c r="D12" i="9"/>
  <c r="D28" i="9" s="1"/>
  <c r="E12" i="9" l="1"/>
  <c r="B9" i="9" s="1"/>
  <c r="D23" i="9"/>
  <c r="D24" i="9"/>
  <c r="D27" i="9"/>
  <c r="D25" i="9"/>
  <c r="D26" i="9"/>
  <c r="D22" i="9"/>
  <c r="D20" i="9"/>
  <c r="D21" i="9"/>
  <c r="D29" i="9"/>
  <c r="D30" i="9" l="1"/>
</calcChain>
</file>

<file path=xl/sharedStrings.xml><?xml version="1.0" encoding="utf-8"?>
<sst xmlns="http://schemas.openxmlformats.org/spreadsheetml/2006/main" count="285" uniqueCount="217">
  <si>
    <t>Subsystem</t>
  </si>
  <si>
    <t>Mass(kg)</t>
  </si>
  <si>
    <t>Power(W)</t>
  </si>
  <si>
    <t>Dimensions</t>
  </si>
  <si>
    <t>Actuators</t>
  </si>
  <si>
    <t>Mirrors</t>
  </si>
  <si>
    <t>??</t>
  </si>
  <si>
    <t>Truss structure</t>
  </si>
  <si>
    <t>Power</t>
  </si>
  <si>
    <t>Computer</t>
  </si>
  <si>
    <t>ACS/ACDS</t>
  </si>
  <si>
    <t>CMG</t>
  </si>
  <si>
    <t>RWs</t>
  </si>
  <si>
    <t>Propulsion</t>
  </si>
  <si>
    <t>Coolers</t>
  </si>
  <si>
    <t>Mass</t>
  </si>
  <si>
    <t>RST</t>
  </si>
  <si>
    <t>Hubble</t>
  </si>
  <si>
    <t>Density(kg/m3)</t>
  </si>
  <si>
    <t>Notes/Sources</t>
  </si>
  <si>
    <t>Weight per segment</t>
  </si>
  <si>
    <t>Ariel density kg/m^2</t>
  </si>
  <si>
    <t>Total mass</t>
  </si>
  <si>
    <t>Additional notes</t>
  </si>
  <si>
    <t>Beryllium</t>
  </si>
  <si>
    <r>
      <rPr>
        <u/>
        <sz val="10"/>
        <color rgb="FF1155CC"/>
        <rFont val="Arial"/>
        <family val="2"/>
      </rPr>
      <t xml:space="preserve">https://science.nasa.gov/mission/webb/science-overview/science-explainers/telescope-overview/
</t>
    </r>
    <r>
      <rPr>
        <sz val="10"/>
        <color rgb="FF000000"/>
        <rFont val="Arial"/>
        <family val="2"/>
        <scheme val="minor"/>
      </rPr>
      <t>Mass/radius ratio: (see notes for calculations)</t>
    </r>
  </si>
  <si>
    <t>from JWST</t>
  </si>
  <si>
    <t>Zerodur</t>
  </si>
  <si>
    <t>pirat et al. paper (autonomous assembly of large telescopes)</t>
  </si>
  <si>
    <t>SiC</t>
  </si>
  <si>
    <t>low density designs go down to 20~40 ariel density</t>
  </si>
  <si>
    <t>Aluminium</t>
  </si>
  <si>
    <t>ULE</t>
  </si>
  <si>
    <t>Density (g/cm3)</t>
  </si>
  <si>
    <t>Reflectivity/throughput</t>
  </si>
  <si>
    <t>Wavelength</t>
  </si>
  <si>
    <t>Thermal expansion
(CTE)</t>
  </si>
  <si>
    <t>Stiffness(GPa)</t>
  </si>
  <si>
    <t>Structural stability</t>
  </si>
  <si>
    <t>Thermal 
conductivity</t>
  </si>
  <si>
    <t>Cost</t>
  </si>
  <si>
    <t>Aluminum</t>
  </si>
  <si>
    <t>90-92% for optical</t>
  </si>
  <si>
    <t>High (23.6)</t>
  </si>
  <si>
    <t>Low</t>
  </si>
  <si>
    <t>High (205)</t>
  </si>
  <si>
    <t>Fused Silica</t>
  </si>
  <si>
    <t>Low (0.55)</t>
  </si>
  <si>
    <t>Moderate (73)</t>
  </si>
  <si>
    <t>Low (1.4)</t>
  </si>
  <si>
    <t>https://accuratus.com/fused.html</t>
  </si>
  <si>
    <t>~2.1-3.2</t>
  </si>
  <si>
    <t>Low (4)</t>
  </si>
  <si>
    <t>V. High (410)</t>
  </si>
  <si>
    <t>High (120)</t>
  </si>
  <si>
    <t>https://accuratus.com/silicar.html</t>
  </si>
  <si>
    <t>V. Low (0.1)</t>
  </si>
  <si>
    <t>Moderate (90)</t>
  </si>
  <si>
    <t>Low (1.7)</t>
  </si>
  <si>
    <t>Silver</t>
  </si>
  <si>
    <t>v. High ~98%</t>
  </si>
  <si>
    <t>Moderate (~76)</t>
  </si>
  <si>
    <t>Weak (needs protective coatings)</t>
  </si>
  <si>
    <t>High</t>
  </si>
  <si>
    <t>Borosilicate</t>
  </si>
  <si>
    <t>High (287)</t>
  </si>
  <si>
    <t>Piezoelectric</t>
  </si>
  <si>
    <t>MEMS</t>
  </si>
  <si>
    <t>Substrate</t>
  </si>
  <si>
    <t>Specific stiffness</t>
  </si>
  <si>
    <r>
      <rPr>
        <b/>
        <sz val="10"/>
        <rFont val="Arial"/>
        <family val="2"/>
      </rPr>
      <t xml:space="preserve">Sources: </t>
    </r>
    <r>
      <rPr>
        <b/>
        <u/>
        <sz val="10"/>
        <color rgb="FF1155CC"/>
        <rFont val="Arial"/>
        <family val="2"/>
      </rPr>
      <t>https://www.newport.com/g/optical-mirror-selection-guide</t>
    </r>
    <r>
      <rPr>
        <b/>
        <sz val="10"/>
        <rFont val="Arial"/>
        <family val="2"/>
      </rPr>
      <t xml:space="preserve"> 
</t>
    </r>
    <r>
      <rPr>
        <b/>
        <u/>
        <sz val="10"/>
        <color rgb="FF1155CC"/>
        <rFont val="Arial"/>
        <family val="2"/>
      </rPr>
      <t>https://www.coherent.com/news/blog/aluminum-mirrors-space-telescopes</t>
    </r>
    <r>
      <rPr>
        <b/>
        <sz val="10"/>
        <rFont val="Arial"/>
        <family val="2"/>
      </rPr>
      <t xml:space="preserve"> </t>
    </r>
  </si>
  <si>
    <t>Weak/Brittle</t>
  </si>
  <si>
    <t>Moderate, costly fabrication</t>
  </si>
  <si>
    <t>Low (3.25)</t>
  </si>
  <si>
    <t>Low (1.1)</t>
  </si>
  <si>
    <t>Moderate (64)</t>
  </si>
  <si>
    <t>Coating</t>
  </si>
  <si>
    <r>
      <rPr>
        <u/>
        <sz val="10"/>
        <color rgb="FF1155CC"/>
        <rFont val="Arial"/>
        <family val="2"/>
      </rPr>
      <t>https://wp.optics.arizona.edu/optomech/wp-content/uploads/sites/53/2016/10/Overview-of-Aluminum-Related-Coatings-and-Their-Properties.pdf</t>
    </r>
    <r>
      <rPr>
        <sz val="10"/>
        <color rgb="FF000000"/>
        <rFont val="Arial"/>
        <family val="2"/>
      </rPr>
      <t xml:space="preserve"> </t>
    </r>
  </si>
  <si>
    <t>Dielectric</t>
  </si>
  <si>
    <r>
      <t xml:space="preserve">v. </t>
    </r>
    <r>
      <rPr>
        <u/>
        <sz val="10"/>
        <color rgb="FF1155CC"/>
        <rFont val="Arial"/>
        <family val="2"/>
      </rPr>
      <t>High &gt;99%</t>
    </r>
    <r>
      <rPr>
        <sz val="10"/>
        <color rgb="FF000000"/>
        <rFont val="Arial"/>
        <family val="2"/>
        <scheme val="minor"/>
      </rPr>
      <t xml:space="preserve"> </t>
    </r>
  </si>
  <si>
    <t>400-750nm</t>
  </si>
  <si>
    <t>High(19)</t>
  </si>
  <si>
    <t>rings</t>
  </si>
  <si>
    <t>Launch mass</t>
  </si>
  <si>
    <t>SC bus</t>
  </si>
  <si>
    <t>Manufacturability</t>
  </si>
  <si>
    <t>SiC(lightweighted, see notes)</t>
  </si>
  <si>
    <t>ULE(lightweighted)</t>
  </si>
  <si>
    <t>^^</t>
  </si>
  <si>
    <t>Optical Reef</t>
  </si>
  <si>
    <t>Total area</t>
  </si>
  <si>
    <t>Radius</t>
  </si>
  <si>
    <t>FTF(m)</t>
  </si>
  <si>
    <t>segments</t>
  </si>
  <si>
    <t>area/segment</t>
  </si>
  <si>
    <t>~0.5</t>
  </si>
  <si>
    <t>Weights(1-5)--&gt;</t>
  </si>
  <si>
    <t>Weighted sum</t>
  </si>
  <si>
    <t>ACS</t>
  </si>
  <si>
    <t xml:space="preserve">Primary support structure </t>
  </si>
  <si>
    <t>Primary Mirror</t>
  </si>
  <si>
    <t>Model</t>
  </si>
  <si>
    <t>Hexagon</t>
  </si>
  <si>
    <t>Diameter</t>
  </si>
  <si>
    <t>Depth</t>
  </si>
  <si>
    <t>COM</t>
  </si>
  <si>
    <t>&lt;-- relative to middle of primary mirror thickness</t>
  </si>
  <si>
    <t>Inertia</t>
  </si>
  <si>
    <t>Solar pressure</t>
  </si>
  <si>
    <t>Area</t>
  </si>
  <si>
    <t>Center of pressure</t>
  </si>
  <si>
    <t>Torque</t>
  </si>
  <si>
    <t>Momentum</t>
  </si>
  <si>
    <t>Net torque</t>
  </si>
  <si>
    <t>SC Bus material</t>
  </si>
  <si>
    <t>AluminUm 6061</t>
  </si>
  <si>
    <t>Density(g/cm3)</t>
  </si>
  <si>
    <t>Graphite composite</t>
  </si>
  <si>
    <t>Volume</t>
  </si>
  <si>
    <t xml:space="preserve">rectangles: </t>
  </si>
  <si>
    <t>hexagons:</t>
  </si>
  <si>
    <t>Area(m^2)</t>
  </si>
  <si>
    <t>Total volume</t>
  </si>
  <si>
    <t>Total mass(kg)</t>
  </si>
  <si>
    <t>Truss</t>
  </si>
  <si>
    <t>Mirror flexures</t>
  </si>
  <si>
    <t>C&amp;DH</t>
  </si>
  <si>
    <t>Spacecraft bus</t>
  </si>
  <si>
    <t>Instrumentation</t>
  </si>
  <si>
    <t>Comms</t>
  </si>
  <si>
    <t>Thermal</t>
  </si>
  <si>
    <t>Ariel density</t>
  </si>
  <si>
    <t>^!!</t>
  </si>
  <si>
    <t>Total area(m2)</t>
  </si>
  <si>
    <t>Radius(m)</t>
  </si>
  <si>
    <t>Docking mechanism</t>
  </si>
  <si>
    <t>Sunshield</t>
  </si>
  <si>
    <t>Mass(kg)/seg</t>
  </si>
  <si>
    <t>Titanium</t>
  </si>
  <si>
    <t>SiC composite</t>
  </si>
  <si>
    <t>central support:</t>
  </si>
  <si>
    <t>height(bus)</t>
  </si>
  <si>
    <t>Edit-able cells</t>
  </si>
  <si>
    <t>Estimates from ratios</t>
  </si>
  <si>
    <t>is gut 👍</t>
  </si>
  <si>
    <t>Vibrational modes</t>
  </si>
  <si>
    <t>see p 52</t>
  </si>
  <si>
    <t>Sun sensor</t>
  </si>
  <si>
    <t>Total</t>
  </si>
  <si>
    <t>Structure and mechanisms:</t>
  </si>
  <si>
    <t>% mass of total</t>
  </si>
  <si>
    <t>ignore</t>
  </si>
  <si>
    <t>Wall thickness(m):</t>
  </si>
  <si>
    <t>Power Control Unit (PCU)</t>
  </si>
  <si>
    <t>Payload</t>
  </si>
  <si>
    <t>Mirror</t>
  </si>
  <si>
    <t>Notes:</t>
  </si>
  <si>
    <t xml:space="preserve">¯\_(ツ)_/¯ </t>
  </si>
  <si>
    <t>\- Each sheet calculates per segment values</t>
  </si>
  <si>
    <t>\- cumulative values in main sheet</t>
  </si>
  <si>
    <t>Science instrumentation --&gt; detector??</t>
  </si>
  <si>
    <t>Bus shell</t>
  </si>
  <si>
    <t>FGS</t>
  </si>
  <si>
    <t>&lt;-- estimation from Ariel payload design</t>
  </si>
  <si>
    <t>Optical Reef size</t>
  </si>
  <si>
    <t>Total areal density(kg/m2)</t>
  </si>
  <si>
    <t>Power/seg (W)</t>
  </si>
  <si>
    <t>Total Power(W)</t>
  </si>
  <si>
    <t>Bus shell/structure estimate</t>
  </si>
  <si>
    <t>Propulsion(Dry)</t>
  </si>
  <si>
    <t>Propulsion (wet)</t>
  </si>
  <si>
    <t>Propulsion(wet)</t>
  </si>
  <si>
    <t>area(m2)/seg</t>
  </si>
  <si>
    <t>CBE</t>
  </si>
  <si>
    <t>Launch mass (expected)</t>
  </si>
  <si>
    <t>&lt;-- estimation from JWST payload design</t>
  </si>
  <si>
    <t>Propulsion(dry)</t>
  </si>
  <si>
    <t># of parts</t>
  </si>
  <si>
    <t>Solar panels</t>
  </si>
  <si>
    <t>Efficiency</t>
  </si>
  <si>
    <t>Insulation</t>
  </si>
  <si>
    <t>Radiator</t>
  </si>
  <si>
    <t>Thermostat</t>
  </si>
  <si>
    <t>Heat pipe</t>
  </si>
  <si>
    <t>Louvers</t>
  </si>
  <si>
    <t>Heater--&gt; Patch/RHU</t>
  </si>
  <si>
    <t>Notes</t>
  </si>
  <si>
    <t>Hydrogen/Nitrogen/acetone. Depends on working temp.</t>
  </si>
  <si>
    <t>cbe</t>
  </si>
  <si>
    <t>~20</t>
  </si>
  <si>
    <t xml:space="preserve">                          </t>
  </si>
  <si>
    <t>~100-500</t>
  </si>
  <si>
    <t xml:space="preserve">https://www.tmt-ipe.com/product-sheets </t>
  </si>
  <si>
    <t>&lt;-- either this or RWs. Don’t need both</t>
  </si>
  <si>
    <t>¯\_(ツ)_/¯ , negligible</t>
  </si>
  <si>
    <t>Mirror backplane assembly</t>
  </si>
  <si>
    <t>Science Instrumentation</t>
  </si>
  <si>
    <t>RW mass</t>
  </si>
  <si>
    <t>\- approx 4 rws @ 12kg, w ~0.012-0.4 Nm</t>
  </si>
  <si>
    <t>IMU</t>
  </si>
  <si>
    <t>Magnetorquer</t>
  </si>
  <si>
    <t>&lt;-- prob don't need in L2 orbit</t>
  </si>
  <si>
    <t xml:space="preserve">https://www.cielo-inertial.com/wp-content/uploads/2019/10/Cielo_Starlight_1000_IRU24_Datasheet.pdf </t>
  </si>
  <si>
    <t>&lt;-- from pirat et.al</t>
  </si>
  <si>
    <t>&lt;--</t>
  </si>
  <si>
    <t>Propulsion (dry)</t>
  </si>
  <si>
    <t>Batteries (Li-ion)</t>
  </si>
  <si>
    <t>~3kg/m2</t>
  </si>
  <si>
    <t>% power of total</t>
  </si>
  <si>
    <t>Function</t>
  </si>
  <si>
    <t>Power source</t>
  </si>
  <si>
    <t>System total load(W)</t>
  </si>
  <si>
    <t>Thermal control</t>
  </si>
  <si>
    <t>Detector array</t>
  </si>
  <si>
    <t>\-30to-100°C, 10-40 W --&gt; passive thermal control, cold fingers, deep-space radiators [chat]</t>
  </si>
  <si>
    <t>&lt;-- power from [chat] estimate 0.3-0.7W/kg</t>
  </si>
  <si>
    <t>Total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</si>
</sst>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theme="1"/>
      <name val="Arial"/>
      <family val="2"/>
      <scheme val="minor"/>
    </font>
    <font>
      <b/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b/>
      <u/>
      <sz val="10"/>
      <color rgb="FF1155CC"/>
      <name val="Arial"/>
      <family val="2"/>
    </font>
    <font>
      <u/>
      <sz val="10"/>
      <color theme="1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 (Body)"/>
    </font>
    <font>
      <b/>
      <strike/>
      <u/>
      <sz val="10"/>
      <color rgb="FF000000"/>
      <name val="Arial"/>
      <family val="2"/>
      <scheme val="minor"/>
    </font>
    <font>
      <strike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93C5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" fillId="2" borderId="0" xfId="0" applyFont="1" applyFill="1"/>
    <xf numFmtId="0" fontId="10" fillId="0" borderId="0" xfId="0" applyFont="1"/>
    <xf numFmtId="0" fontId="2" fillId="2" borderId="0" xfId="0" applyFont="1" applyFill="1"/>
    <xf numFmtId="0" fontId="12" fillId="2" borderId="0" xfId="0" applyFont="1" applyFill="1"/>
    <xf numFmtId="0" fontId="13" fillId="0" borderId="0" xfId="0" applyFont="1"/>
    <xf numFmtId="0" fontId="14" fillId="0" borderId="0" xfId="0" applyFont="1"/>
    <xf numFmtId="0" fontId="19" fillId="0" borderId="0" xfId="0" applyFont="1"/>
    <xf numFmtId="0" fontId="18" fillId="0" borderId="0" xfId="1"/>
    <xf numFmtId="0" fontId="21" fillId="0" borderId="0" xfId="0" applyFont="1"/>
    <xf numFmtId="0" fontId="2" fillId="3" borderId="0" xfId="0" applyFont="1" applyFill="1"/>
    <xf numFmtId="0" fontId="0" fillId="3" borderId="0" xfId="0" applyFill="1"/>
    <xf numFmtId="0" fontId="20" fillId="3" borderId="0" xfId="0" applyFont="1" applyFill="1"/>
    <xf numFmtId="0" fontId="4" fillId="3" borderId="0" xfId="0" applyFont="1" applyFill="1"/>
    <xf numFmtId="0" fontId="11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  <xf numFmtId="0" fontId="20" fillId="4" borderId="0" xfId="0" applyFont="1" applyFill="1"/>
    <xf numFmtId="0" fontId="20" fillId="0" borderId="0" xfId="0" applyFont="1"/>
    <xf numFmtId="0" fontId="21" fillId="4" borderId="0" xfId="0" applyFont="1" applyFill="1"/>
    <xf numFmtId="0" fontId="18" fillId="0" borderId="0" xfId="1" applyFill="1"/>
    <xf numFmtId="0" fontId="6" fillId="3" borderId="0" xfId="0" applyFont="1" applyFill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6" fillId="0" borderId="0" xfId="0" applyFont="1" applyAlignment="1">
      <alignment horizontal="right"/>
    </xf>
    <xf numFmtId="0" fontId="0" fillId="5" borderId="0" xfId="0" applyFill="1"/>
    <xf numFmtId="0" fontId="6" fillId="4" borderId="0" xfId="0" applyFont="1" applyFill="1"/>
    <xf numFmtId="0" fontId="0" fillId="6" borderId="0" xfId="0" applyFill="1"/>
    <xf numFmtId="0" fontId="6" fillId="6" borderId="0" xfId="0" applyFont="1" applyFill="1"/>
    <xf numFmtId="0" fontId="6" fillId="5" borderId="0" xfId="0" applyFont="1" applyFill="1"/>
    <xf numFmtId="0" fontId="1" fillId="3" borderId="0" xfId="0" applyFont="1" applyFill="1"/>
    <xf numFmtId="0" fontId="21" fillId="7" borderId="0" xfId="0" applyFont="1" applyFill="1"/>
    <xf numFmtId="0" fontId="6" fillId="7" borderId="0" xfId="0" applyFont="1" applyFill="1"/>
    <xf numFmtId="9" fontId="0" fillId="7" borderId="0" xfId="0" applyNumberFormat="1" applyFill="1"/>
    <xf numFmtId="0" fontId="22" fillId="7" borderId="0" xfId="0" applyFont="1" applyFill="1"/>
    <xf numFmtId="0" fontId="0" fillId="8" borderId="0" xfId="0" applyFill="1"/>
    <xf numFmtId="0" fontId="25" fillId="0" borderId="0" xfId="0" applyFont="1"/>
    <xf numFmtId="0" fontId="26" fillId="6" borderId="0" xfId="0" applyFont="1" applyFill="1"/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3C5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mt-ipe.com/product-sheet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ielo-inertial.com/wp-content/uploads/2019/10/Cielo_Starlight_1000_IRU24_Datasheet.pdf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ntrs.nasa.gov/api/citations/20220016563/downloads/2022_Mirror_Tech_Days_Roman_OTA_status_for%20approval.pdf" TargetMode="External"/><Relationship Id="rId1" Type="http://schemas.openxmlformats.org/officeDocument/2006/relationships/hyperlink" Target="https://science.nasa.gov/mission/webb/science-overview/science-explainers/telescope-overview/?utm_source=chatgpt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accuratus.com/silicar.html" TargetMode="External"/><Relationship Id="rId2" Type="http://schemas.openxmlformats.org/officeDocument/2006/relationships/hyperlink" Target="https://accuratus.com/fused.html" TargetMode="External"/><Relationship Id="rId1" Type="http://schemas.openxmlformats.org/officeDocument/2006/relationships/hyperlink" Target="https://www.newport.com/g/optical-mirror-selection-guide" TargetMode="External"/><Relationship Id="rId6" Type="http://schemas.openxmlformats.org/officeDocument/2006/relationships/hyperlink" Target="https://www.thorlabs.com/newgrouppage9.cfm?objectgroup_id=6636" TargetMode="External"/><Relationship Id="rId5" Type="http://schemas.openxmlformats.org/officeDocument/2006/relationships/hyperlink" Target="https://wp.optics.arizona.edu/optomech/wp-content/uploads/sites/53/2016/10/Overview-of-Aluminum-Related-Coatings-and-Their-Properties.pdf" TargetMode="External"/><Relationship Id="rId4" Type="http://schemas.openxmlformats.org/officeDocument/2006/relationships/hyperlink" Target="https://www.newport.com/g/optical-mirror-selection-guid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sa.gov/wp-content/uploads/2024/04/optics-xrcf-techdays2015-17-nasa-atlast-12-sls.pdf?emrc=9f3ef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33740-28C6-5C49-81CE-5D4B6A6EFF64}">
  <dimension ref="A1:M30"/>
  <sheetViews>
    <sheetView zoomScale="166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" sqref="B10"/>
    </sheetView>
  </sheetViews>
  <sheetFormatPr baseColWidth="10" defaultRowHeight="13" x14ac:dyDescent="0.15"/>
  <cols>
    <col min="1" max="1" width="22.6640625" bestFit="1" customWidth="1"/>
    <col min="3" max="3" width="13.83203125" bestFit="1" customWidth="1"/>
  </cols>
  <sheetData>
    <row r="1" spans="1:13" x14ac:dyDescent="0.15">
      <c r="A1" s="17" t="s">
        <v>164</v>
      </c>
      <c r="C1" s="17" t="s">
        <v>0</v>
      </c>
      <c r="D1" s="17" t="s">
        <v>137</v>
      </c>
      <c r="E1" s="17" t="s">
        <v>123</v>
      </c>
      <c r="F1" s="17" t="s">
        <v>166</v>
      </c>
      <c r="G1" s="17" t="s">
        <v>167</v>
      </c>
      <c r="H1" s="17"/>
    </row>
    <row r="2" spans="1:13" x14ac:dyDescent="0.15">
      <c r="A2" s="25" t="s">
        <v>92</v>
      </c>
      <c r="B2" s="23">
        <v>3</v>
      </c>
      <c r="C2" s="17" t="s">
        <v>154</v>
      </c>
      <c r="D2">
        <f>Payload!B10</f>
        <v>535.42685902179846</v>
      </c>
      <c r="E2">
        <f>D2*B5</f>
        <v>3747.9880131525892</v>
      </c>
      <c r="F2" s="6">
        <f>0.5*D2</f>
        <v>267.71342951089923</v>
      </c>
      <c r="H2" s="6" t="s">
        <v>215</v>
      </c>
      <c r="M2" s="6" t="s">
        <v>156</v>
      </c>
    </row>
    <row r="3" spans="1:13" x14ac:dyDescent="0.15">
      <c r="A3" s="28" t="s">
        <v>82</v>
      </c>
      <c r="B3" s="24">
        <v>1</v>
      </c>
      <c r="C3" s="17" t="s">
        <v>84</v>
      </c>
      <c r="D3">
        <f>'SC bus'!B9</f>
        <v>552.70812983971405</v>
      </c>
      <c r="E3">
        <f>D3*B5</f>
        <v>3868.9569088779981</v>
      </c>
      <c r="F3">
        <f>'SC bus'!C9</f>
        <v>455.6</v>
      </c>
      <c r="M3" s="6" t="s">
        <v>158</v>
      </c>
    </row>
    <row r="4" spans="1:13" x14ac:dyDescent="0.15">
      <c r="A4" s="1" t="s">
        <v>134</v>
      </c>
      <c r="B4">
        <f>B2/2</f>
        <v>1.5</v>
      </c>
      <c r="C4" s="6" t="s">
        <v>161</v>
      </c>
      <c r="D4">
        <f>'SC bus'!D13</f>
        <v>340.08312983971399</v>
      </c>
      <c r="E4">
        <f>D4*B5</f>
        <v>2380.5819088779981</v>
      </c>
      <c r="F4">
        <v>0</v>
      </c>
      <c r="G4">
        <v>0</v>
      </c>
      <c r="M4" s="6" t="s">
        <v>159</v>
      </c>
    </row>
    <row r="5" spans="1:13" x14ac:dyDescent="0.15">
      <c r="A5" s="17" t="s">
        <v>93</v>
      </c>
      <c r="B5" s="2">
        <f>6*B3*(B3+1)/2 + 1</f>
        <v>7</v>
      </c>
      <c r="C5" s="6" t="s">
        <v>128</v>
      </c>
      <c r="D5">
        <f>Instrumentation!B7</f>
        <v>35</v>
      </c>
      <c r="E5">
        <f>D5*B5</f>
        <v>245</v>
      </c>
      <c r="F5">
        <f>Instrumentation!C7</f>
        <v>160</v>
      </c>
      <c r="G5">
        <f>F5*B5</f>
        <v>1120</v>
      </c>
    </row>
    <row r="6" spans="1:13" x14ac:dyDescent="0.15">
      <c r="A6" s="1" t="s">
        <v>172</v>
      </c>
      <c r="B6" s="2">
        <f>((3*SQRT(3))/2)*(B2/2)^2</f>
        <v>5.845671475544961</v>
      </c>
      <c r="C6" s="6" t="s">
        <v>8</v>
      </c>
      <c r="D6">
        <f>Power!B6</f>
        <v>55</v>
      </c>
      <c r="E6">
        <f>D6*B5</f>
        <v>385</v>
      </c>
      <c r="F6">
        <f>Power!C6</f>
        <v>0</v>
      </c>
    </row>
    <row r="7" spans="1:13" x14ac:dyDescent="0.15">
      <c r="A7" s="1" t="s">
        <v>141</v>
      </c>
      <c r="B7" s="2">
        <v>1</v>
      </c>
      <c r="C7" s="6" t="s">
        <v>130</v>
      </c>
      <c r="D7">
        <f>Thermal!B10</f>
        <v>5</v>
      </c>
      <c r="E7">
        <f>D7*B5</f>
        <v>35</v>
      </c>
      <c r="F7">
        <f>Thermal!C10</f>
        <v>0</v>
      </c>
    </row>
    <row r="8" spans="1:13" x14ac:dyDescent="0.15">
      <c r="A8" s="1" t="s">
        <v>133</v>
      </c>
      <c r="B8">
        <f>(B4^2*3*SQRT(3)/2)*B5</f>
        <v>40.91970032881472</v>
      </c>
      <c r="C8" s="6" t="s">
        <v>205</v>
      </c>
      <c r="D8">
        <f>'SC bus'!B8</f>
        <v>25</v>
      </c>
      <c r="E8">
        <f>D8*B5</f>
        <v>175</v>
      </c>
      <c r="F8">
        <v>0</v>
      </c>
      <c r="G8">
        <v>0</v>
      </c>
    </row>
    <row r="9" spans="1:13" x14ac:dyDescent="0.15">
      <c r="A9" s="1" t="s">
        <v>165</v>
      </c>
      <c r="B9">
        <f>E12/B8</f>
        <v>209.14863415633161</v>
      </c>
      <c r="C9" s="6" t="s">
        <v>98</v>
      </c>
      <c r="D9">
        <f>ACS!B11</f>
        <v>92.625</v>
      </c>
      <c r="E9">
        <f>D9*B5</f>
        <v>648.375</v>
      </c>
      <c r="F9">
        <f>ACS!C11</f>
        <v>295.60000000000002</v>
      </c>
      <c r="G9">
        <f>F9*B5</f>
        <v>2069.2000000000003</v>
      </c>
    </row>
    <row r="10" spans="1:13" x14ac:dyDescent="0.15">
      <c r="A10" s="25" t="s">
        <v>216</v>
      </c>
      <c r="B10" s="24">
        <f>B2*2*(B3-1)+3</f>
        <v>3</v>
      </c>
      <c r="C10" s="17" t="s">
        <v>170</v>
      </c>
      <c r="D10" s="37">
        <f>0.07*D13</f>
        <v>329.82294515742791</v>
      </c>
      <c r="E10" s="37">
        <f>D10*B5</f>
        <v>2308.7606161019953</v>
      </c>
      <c r="F10">
        <v>0</v>
      </c>
      <c r="G10">
        <v>0</v>
      </c>
    </row>
    <row r="12" spans="1:13" x14ac:dyDescent="0.15">
      <c r="C12" s="31" t="s">
        <v>173</v>
      </c>
      <c r="D12">
        <f>SUM(D2:D3,D10)</f>
        <v>1417.9579340189405</v>
      </c>
      <c r="E12">
        <f>SUM(E3,E4,E10)</f>
        <v>8558.299433857992</v>
      </c>
    </row>
    <row r="13" spans="1:13" x14ac:dyDescent="0.15">
      <c r="C13" s="46" t="s">
        <v>174</v>
      </c>
      <c r="D13" s="47">
        <f>8.8*D2</f>
        <v>4711.7563593918267</v>
      </c>
      <c r="E13" s="47">
        <f>D13*B5</f>
        <v>32982.294515742789</v>
      </c>
      <c r="F13" s="47">
        <f>0.5*D13</f>
        <v>2355.8781796959133</v>
      </c>
      <c r="G13" s="47">
        <f>F13*B5</f>
        <v>16491.147257871395</v>
      </c>
    </row>
    <row r="15" spans="1:13" x14ac:dyDescent="0.15">
      <c r="C15" s="33"/>
    </row>
    <row r="19" spans="3:6" x14ac:dyDescent="0.15">
      <c r="C19" s="44" t="s">
        <v>89</v>
      </c>
      <c r="D19" s="42" t="s">
        <v>150</v>
      </c>
      <c r="F19" s="6" t="s">
        <v>208</v>
      </c>
    </row>
    <row r="20" spans="3:6" x14ac:dyDescent="0.15">
      <c r="C20" s="41" t="s">
        <v>154</v>
      </c>
      <c r="D20" s="43">
        <f>D2/D12</f>
        <v>0.37760419133466794</v>
      </c>
      <c r="E20" s="6" t="s">
        <v>204</v>
      </c>
    </row>
    <row r="21" spans="3:6" x14ac:dyDescent="0.15">
      <c r="C21" s="41" t="s">
        <v>84</v>
      </c>
      <c r="D21" s="43">
        <f>D3/D12</f>
        <v>0.38979162680317653</v>
      </c>
      <c r="E21" s="6" t="s">
        <v>204</v>
      </c>
    </row>
    <row r="22" spans="3:6" x14ac:dyDescent="0.15">
      <c r="C22" s="42" t="s">
        <v>161</v>
      </c>
      <c r="D22" s="43">
        <f>D4/$D$12</f>
        <v>0.23984006977965208</v>
      </c>
    </row>
    <row r="23" spans="3:6" x14ac:dyDescent="0.15">
      <c r="C23" s="42" t="s">
        <v>128</v>
      </c>
      <c r="D23" s="43">
        <f t="shared" ref="D23:D27" si="0">D5/$D$12</f>
        <v>2.4683383872185088E-2</v>
      </c>
    </row>
    <row r="24" spans="3:6" x14ac:dyDescent="0.15">
      <c r="C24" s="42" t="s">
        <v>8</v>
      </c>
      <c r="D24" s="43">
        <f t="shared" si="0"/>
        <v>3.878817465629085E-2</v>
      </c>
    </row>
    <row r="25" spans="3:6" x14ac:dyDescent="0.15">
      <c r="C25" s="42" t="s">
        <v>130</v>
      </c>
      <c r="D25" s="43">
        <f t="shared" si="0"/>
        <v>3.5261976960264409E-3</v>
      </c>
    </row>
    <row r="26" spans="3:6" x14ac:dyDescent="0.15">
      <c r="C26" s="48" t="s">
        <v>205</v>
      </c>
      <c r="D26" s="43">
        <f t="shared" si="0"/>
        <v>1.7630988480132205E-2</v>
      </c>
    </row>
    <row r="27" spans="3:6" x14ac:dyDescent="0.15">
      <c r="C27" s="48" t="s">
        <v>98</v>
      </c>
      <c r="D27" s="43">
        <f t="shared" si="0"/>
        <v>6.5322812318889811E-2</v>
      </c>
    </row>
    <row r="28" spans="3:6" x14ac:dyDescent="0.15">
      <c r="C28" s="42" t="s">
        <v>178</v>
      </c>
      <c r="D28" s="43">
        <f>Power!B4/main!D12</f>
        <v>1.2367795973276476E-2</v>
      </c>
    </row>
    <row r="29" spans="3:6" x14ac:dyDescent="0.15">
      <c r="C29" s="41" t="s">
        <v>171</v>
      </c>
      <c r="D29" s="43">
        <f>D10/D12</f>
        <v>0.23260418186215548</v>
      </c>
      <c r="E29" s="6" t="s">
        <v>204</v>
      </c>
    </row>
    <row r="30" spans="3:6" x14ac:dyDescent="0.15">
      <c r="C30" s="44" t="s">
        <v>83</v>
      </c>
      <c r="D30" s="43">
        <f>SUM(D21,D20,D29)</f>
        <v>0.99999999999999989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3962-9D89-4D40-AFFF-C752AC8D049B}">
  <dimension ref="A1:E10"/>
  <sheetViews>
    <sheetView tabSelected="1" zoomScale="159" workbookViewId="0">
      <selection activeCell="C11" sqref="C11"/>
    </sheetView>
  </sheetViews>
  <sheetFormatPr baseColWidth="10" defaultRowHeight="13" x14ac:dyDescent="0.15"/>
  <cols>
    <col min="1" max="1" width="10.83203125" style="17"/>
  </cols>
  <sheetData>
    <row r="1" spans="1:5" x14ac:dyDescent="0.15">
      <c r="A1" s="17" t="s">
        <v>154</v>
      </c>
    </row>
    <row r="2" spans="1:5" s="17" customFormat="1" x14ac:dyDescent="0.15">
      <c r="B2" s="17" t="s">
        <v>1</v>
      </c>
      <c r="C2" s="17" t="s">
        <v>2</v>
      </c>
    </row>
    <row r="3" spans="1:5" x14ac:dyDescent="0.15">
      <c r="A3" s="6" t="s">
        <v>155</v>
      </c>
      <c r="B3">
        <f>'Mirror mass'!D9</f>
        <v>233.82685902179844</v>
      </c>
      <c r="C3" s="6">
        <v>0</v>
      </c>
    </row>
    <row r="4" spans="1:5" x14ac:dyDescent="0.15">
      <c r="A4" s="6" t="s">
        <v>4</v>
      </c>
      <c r="E4" s="6"/>
    </row>
    <row r="5" spans="1:5" x14ac:dyDescent="0.15">
      <c r="A5" s="6" t="s">
        <v>195</v>
      </c>
      <c r="B5">
        <v>100</v>
      </c>
      <c r="E5" s="6"/>
    </row>
    <row r="6" spans="1:5" x14ac:dyDescent="0.15">
      <c r="A6" s="6" t="s">
        <v>196</v>
      </c>
      <c r="B6">
        <v>200</v>
      </c>
      <c r="E6" s="6"/>
    </row>
    <row r="7" spans="1:5" x14ac:dyDescent="0.15">
      <c r="A7" s="6" t="s">
        <v>212</v>
      </c>
      <c r="C7">
        <v>25</v>
      </c>
      <c r="D7" s="6" t="s">
        <v>214</v>
      </c>
      <c r="E7" s="6"/>
    </row>
    <row r="8" spans="1:5" x14ac:dyDescent="0.15">
      <c r="A8" s="6" t="s">
        <v>213</v>
      </c>
      <c r="D8" s="6"/>
      <c r="E8" s="6"/>
    </row>
    <row r="9" spans="1:5" x14ac:dyDescent="0.15">
      <c r="A9" s="6" t="s">
        <v>162</v>
      </c>
      <c r="B9">
        <v>1.6</v>
      </c>
      <c r="C9">
        <v>10.5</v>
      </c>
      <c r="D9" s="6"/>
      <c r="E9" s="6"/>
    </row>
    <row r="10" spans="1:5" ht="14" customHeight="1" x14ac:dyDescent="0.15">
      <c r="A10" s="17" t="s">
        <v>148</v>
      </c>
      <c r="B10">
        <f>SUM(B3:B9)</f>
        <v>535.42685902179846</v>
      </c>
      <c r="C10">
        <f>SUM(C3:C9)</f>
        <v>35.5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6058-9F17-C547-B359-DB1F9C3599C8}">
  <dimension ref="A1:G23"/>
  <sheetViews>
    <sheetView zoomScale="150" workbookViewId="0">
      <selection activeCell="I19" sqref="I19"/>
    </sheetView>
  </sheetViews>
  <sheetFormatPr baseColWidth="10" defaultRowHeight="13" x14ac:dyDescent="0.15"/>
  <sheetData>
    <row r="1" spans="1:7" x14ac:dyDescent="0.15">
      <c r="A1" s="17" t="s">
        <v>127</v>
      </c>
      <c r="F1" s="17"/>
      <c r="G1" s="17"/>
    </row>
    <row r="2" spans="1:7" x14ac:dyDescent="0.15">
      <c r="B2" s="17" t="s">
        <v>1</v>
      </c>
      <c r="C2" s="17" t="s">
        <v>2</v>
      </c>
    </row>
    <row r="3" spans="1:7" x14ac:dyDescent="0.15">
      <c r="A3" s="2" t="s">
        <v>10</v>
      </c>
      <c r="B3">
        <f>ACS!B11</f>
        <v>92.625</v>
      </c>
      <c r="C3">
        <f>ACS!C11</f>
        <v>295.60000000000002</v>
      </c>
    </row>
    <row r="4" spans="1:7" x14ac:dyDescent="0.15">
      <c r="A4" s="6" t="s">
        <v>8</v>
      </c>
      <c r="B4" s="45">
        <f>Power!B6</f>
        <v>55</v>
      </c>
      <c r="C4">
        <v>0</v>
      </c>
    </row>
    <row r="5" spans="1:7" x14ac:dyDescent="0.15">
      <c r="A5" s="6" t="s">
        <v>130</v>
      </c>
      <c r="B5">
        <f>Thermal!B10</f>
        <v>5</v>
      </c>
      <c r="C5">
        <f>Thermal!C10</f>
        <v>0</v>
      </c>
    </row>
    <row r="6" spans="1:7" x14ac:dyDescent="0.15">
      <c r="A6" s="32" t="s">
        <v>128</v>
      </c>
      <c r="B6">
        <f>Instrumentation!B7</f>
        <v>35</v>
      </c>
      <c r="C6">
        <f>Instrumentation!C7</f>
        <v>160</v>
      </c>
    </row>
    <row r="7" spans="1:7" x14ac:dyDescent="0.15">
      <c r="A7" s="6" t="s">
        <v>161</v>
      </c>
      <c r="B7">
        <f>D13</f>
        <v>340.08312983971399</v>
      </c>
      <c r="C7">
        <v>0</v>
      </c>
    </row>
    <row r="8" spans="1:7" x14ac:dyDescent="0.15">
      <c r="A8" s="6" t="s">
        <v>169</v>
      </c>
      <c r="B8">
        <f>ACS!B8</f>
        <v>25</v>
      </c>
      <c r="C8">
        <v>0</v>
      </c>
    </row>
    <row r="9" spans="1:7" x14ac:dyDescent="0.15">
      <c r="A9" s="17" t="s">
        <v>148</v>
      </c>
      <c r="B9">
        <f>SUM(B3:B8)</f>
        <v>552.70812983971405</v>
      </c>
      <c r="C9">
        <f>SUM(C3:C8)</f>
        <v>455.6</v>
      </c>
    </row>
    <row r="11" spans="1:7" x14ac:dyDescent="0.15">
      <c r="A11" s="17" t="s">
        <v>168</v>
      </c>
    </row>
    <row r="12" spans="1:7" x14ac:dyDescent="0.15">
      <c r="A12" s="17" t="s">
        <v>114</v>
      </c>
      <c r="B12" s="17" t="s">
        <v>116</v>
      </c>
      <c r="C12" s="17" t="s">
        <v>18</v>
      </c>
      <c r="D12" s="17" t="s">
        <v>123</v>
      </c>
      <c r="E12" s="2"/>
    </row>
    <row r="13" spans="1:7" x14ac:dyDescent="0.15">
      <c r="A13" s="30" t="s">
        <v>115</v>
      </c>
      <c r="B13" s="19">
        <v>2.7</v>
      </c>
      <c r="C13" s="19">
        <f>B13*1000</f>
        <v>2700</v>
      </c>
      <c r="D13" s="2">
        <f>$F$23*C13</f>
        <v>340.08312983971399</v>
      </c>
      <c r="E13" s="2"/>
    </row>
    <row r="14" spans="1:7" x14ac:dyDescent="0.15">
      <c r="A14" s="6" t="s">
        <v>117</v>
      </c>
      <c r="B14">
        <v>1.6</v>
      </c>
      <c r="C14">
        <f>B14*1000</f>
        <v>1600</v>
      </c>
      <c r="D14">
        <f>$F$23*C14</f>
        <v>201.53074360871938</v>
      </c>
      <c r="E14" s="2"/>
    </row>
    <row r="15" spans="1:7" x14ac:dyDescent="0.15">
      <c r="A15" s="6" t="s">
        <v>138</v>
      </c>
      <c r="E15" s="2"/>
    </row>
    <row r="16" spans="1:7" x14ac:dyDescent="0.15">
      <c r="A16" s="6" t="s">
        <v>139</v>
      </c>
      <c r="E16" s="2"/>
    </row>
    <row r="18" spans="1:6" x14ac:dyDescent="0.15">
      <c r="A18" s="17" t="s">
        <v>3</v>
      </c>
    </row>
    <row r="19" spans="1:6" x14ac:dyDescent="0.15">
      <c r="C19" s="6" t="s">
        <v>121</v>
      </c>
      <c r="D19" s="23" t="s">
        <v>177</v>
      </c>
      <c r="E19" s="6" t="s">
        <v>118</v>
      </c>
      <c r="F19" s="6" t="s">
        <v>122</v>
      </c>
    </row>
    <row r="20" spans="1:6" x14ac:dyDescent="0.15">
      <c r="B20" s="6" t="s">
        <v>119</v>
      </c>
      <c r="C20" s="6">
        <f>main!B4*main!B7</f>
        <v>1.5</v>
      </c>
      <c r="D20" s="23">
        <v>6</v>
      </c>
      <c r="E20">
        <f>C20*B23</f>
        <v>7.4999999999999997E-3</v>
      </c>
      <c r="F20">
        <f>E20*D20</f>
        <v>4.4999999999999998E-2</v>
      </c>
    </row>
    <row r="21" spans="1:6" x14ac:dyDescent="0.15">
      <c r="A21" s="6"/>
      <c r="B21" s="6" t="s">
        <v>120</v>
      </c>
      <c r="C21">
        <f>main!B6</f>
        <v>5.845671475544961</v>
      </c>
      <c r="D21" s="23">
        <v>2</v>
      </c>
      <c r="E21">
        <f>C21*B23</f>
        <v>2.9228357377724806E-2</v>
      </c>
      <c r="F21">
        <f>E21*D21</f>
        <v>5.8456714755449612E-2</v>
      </c>
    </row>
    <row r="22" spans="1:6" x14ac:dyDescent="0.15">
      <c r="A22" s="6"/>
      <c r="B22" s="38" t="s">
        <v>140</v>
      </c>
      <c r="C22" s="37">
        <f>(main!B4/2)*main!B7</f>
        <v>0.75</v>
      </c>
      <c r="D22" s="23">
        <v>6</v>
      </c>
      <c r="E22">
        <f>C22*B23</f>
        <v>3.7499999999999999E-3</v>
      </c>
      <c r="F22">
        <f>E22*D22</f>
        <v>2.2499999999999999E-2</v>
      </c>
    </row>
    <row r="23" spans="1:6" x14ac:dyDescent="0.15">
      <c r="A23" s="36" t="s">
        <v>152</v>
      </c>
      <c r="B23" s="24">
        <v>5.0000000000000001E-3</v>
      </c>
      <c r="C23" s="6"/>
      <c r="D23" s="2"/>
      <c r="F23">
        <f>F20+F21+F22</f>
        <v>0.12595671475544962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2DC0-292E-A145-BAC7-75D75C0063B1}">
  <dimension ref="A1:G7"/>
  <sheetViews>
    <sheetView zoomScale="125" workbookViewId="0">
      <selection activeCell="C3" sqref="C3"/>
    </sheetView>
  </sheetViews>
  <sheetFormatPr baseColWidth="10" defaultRowHeight="13" x14ac:dyDescent="0.15"/>
  <sheetData>
    <row r="1" spans="1:7" s="17" customFormat="1" x14ac:dyDescent="0.15">
      <c r="A1" s="17" t="s">
        <v>8</v>
      </c>
    </row>
    <row r="2" spans="1:7" x14ac:dyDescent="0.15">
      <c r="A2" s="17"/>
      <c r="B2" s="17" t="s">
        <v>1</v>
      </c>
      <c r="C2" s="17" t="s">
        <v>211</v>
      </c>
      <c r="D2" s="17" t="s">
        <v>179</v>
      </c>
      <c r="E2" s="17"/>
      <c r="G2" s="17" t="s">
        <v>209</v>
      </c>
    </row>
    <row r="3" spans="1:7" x14ac:dyDescent="0.15">
      <c r="A3" s="6" t="s">
        <v>206</v>
      </c>
      <c r="B3">
        <v>7.06</v>
      </c>
      <c r="C3">
        <v>1093.7</v>
      </c>
      <c r="G3" s="6" t="s">
        <v>210</v>
      </c>
    </row>
    <row r="4" spans="1:7" x14ac:dyDescent="0.15">
      <c r="A4" s="6" t="s">
        <v>178</v>
      </c>
      <c r="B4">
        <f>3*main!B6</f>
        <v>17.537014426634883</v>
      </c>
      <c r="F4" s="6" t="s">
        <v>207</v>
      </c>
      <c r="G4" s="6" t="s">
        <v>210</v>
      </c>
    </row>
    <row r="5" spans="1:7" x14ac:dyDescent="0.15">
      <c r="A5" s="6" t="s">
        <v>153</v>
      </c>
    </row>
    <row r="6" spans="1:7" x14ac:dyDescent="0.15">
      <c r="A6" s="17" t="s">
        <v>148</v>
      </c>
      <c r="B6">
        <v>55</v>
      </c>
      <c r="C6">
        <v>0</v>
      </c>
    </row>
    <row r="7" spans="1:7" x14ac:dyDescent="0.15">
      <c r="A7" s="6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7FD97-C3D2-914B-AC37-326D98F73964}">
  <dimension ref="A1:D11"/>
  <sheetViews>
    <sheetView zoomScale="150" workbookViewId="0">
      <selection activeCell="A3" sqref="A3:A8"/>
    </sheetView>
  </sheetViews>
  <sheetFormatPr baseColWidth="10" defaultRowHeight="13" x14ac:dyDescent="0.15"/>
  <sheetData>
    <row r="1" spans="1:4" x14ac:dyDescent="0.15">
      <c r="A1" s="17" t="s">
        <v>130</v>
      </c>
    </row>
    <row r="2" spans="1:4" x14ac:dyDescent="0.15">
      <c r="B2" s="17" t="s">
        <v>1</v>
      </c>
      <c r="C2" s="17" t="s">
        <v>2</v>
      </c>
      <c r="D2" s="6" t="s">
        <v>186</v>
      </c>
    </row>
    <row r="3" spans="1:4" x14ac:dyDescent="0.15">
      <c r="A3" s="6" t="s">
        <v>14</v>
      </c>
      <c r="B3">
        <v>5</v>
      </c>
    </row>
    <row r="4" spans="1:4" x14ac:dyDescent="0.15">
      <c r="A4" s="6" t="s">
        <v>180</v>
      </c>
    </row>
    <row r="5" spans="1:4" x14ac:dyDescent="0.15">
      <c r="A5" s="6" t="s">
        <v>181</v>
      </c>
    </row>
    <row r="6" spans="1:4" x14ac:dyDescent="0.15">
      <c r="A6" s="6" t="s">
        <v>183</v>
      </c>
      <c r="D6" s="6" t="s">
        <v>187</v>
      </c>
    </row>
    <row r="7" spans="1:4" x14ac:dyDescent="0.15">
      <c r="A7" s="6" t="s">
        <v>182</v>
      </c>
    </row>
    <row r="8" spans="1:4" x14ac:dyDescent="0.15">
      <c r="A8" s="6" t="s">
        <v>184</v>
      </c>
      <c r="D8" s="16" t="s">
        <v>192</v>
      </c>
    </row>
    <row r="9" spans="1:4" x14ac:dyDescent="0.15">
      <c r="A9" s="6" t="s">
        <v>185</v>
      </c>
    </row>
    <row r="10" spans="1:4" x14ac:dyDescent="0.15">
      <c r="A10" s="17" t="s">
        <v>148</v>
      </c>
      <c r="B10">
        <v>5</v>
      </c>
    </row>
    <row r="11" spans="1:4" x14ac:dyDescent="0.15">
      <c r="A11" s="6" t="s">
        <v>188</v>
      </c>
      <c r="B11" s="6" t="s">
        <v>189</v>
      </c>
      <c r="C11" s="6" t="s">
        <v>191</v>
      </c>
    </row>
  </sheetData>
  <hyperlinks>
    <hyperlink ref="D8" r:id="rId1" xr:uid="{457E3803-102F-534D-AE48-152125E83396}"/>
  </hyperlink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5009-8612-474F-8214-7CD61415FAB1}">
  <dimension ref="A1:D8"/>
  <sheetViews>
    <sheetView zoomScale="139" workbookViewId="0">
      <selection activeCell="C7" sqref="C7"/>
    </sheetView>
  </sheetViews>
  <sheetFormatPr baseColWidth="10" defaultRowHeight="13" x14ac:dyDescent="0.15"/>
  <sheetData>
    <row r="1" spans="1:4" s="17" customFormat="1" x14ac:dyDescent="0.15">
      <c r="A1" s="17" t="s">
        <v>128</v>
      </c>
    </row>
    <row r="2" spans="1:4" x14ac:dyDescent="0.15">
      <c r="A2" s="17"/>
      <c r="B2" s="17" t="s">
        <v>1</v>
      </c>
      <c r="C2" s="17" t="s">
        <v>2</v>
      </c>
    </row>
    <row r="3" spans="1:4" x14ac:dyDescent="0.15">
      <c r="A3" s="6" t="s">
        <v>126</v>
      </c>
      <c r="B3">
        <v>15</v>
      </c>
      <c r="C3">
        <v>50</v>
      </c>
      <c r="D3" s="6" t="s">
        <v>175</v>
      </c>
    </row>
    <row r="4" spans="1:4" x14ac:dyDescent="0.15">
      <c r="A4" s="6" t="s">
        <v>129</v>
      </c>
      <c r="B4">
        <v>10</v>
      </c>
      <c r="C4">
        <v>60</v>
      </c>
      <c r="D4" s="6" t="s">
        <v>175</v>
      </c>
    </row>
    <row r="5" spans="1:4" x14ac:dyDescent="0.15">
      <c r="A5" s="6" t="s">
        <v>162</v>
      </c>
    </row>
    <row r="6" spans="1:4" x14ac:dyDescent="0.15">
      <c r="A6" s="6" t="s">
        <v>9</v>
      </c>
      <c r="B6">
        <v>10</v>
      </c>
      <c r="C6">
        <v>50</v>
      </c>
      <c r="D6" s="6" t="s">
        <v>163</v>
      </c>
    </row>
    <row r="7" spans="1:4" x14ac:dyDescent="0.15">
      <c r="A7" s="17" t="s">
        <v>148</v>
      </c>
      <c r="B7">
        <f>SUM(B3:B6)</f>
        <v>35</v>
      </c>
      <c r="C7">
        <f>SUM(C3:C6)</f>
        <v>160</v>
      </c>
    </row>
    <row r="8" spans="1:4" x14ac:dyDescent="0.15">
      <c r="A8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2"/>
  <sheetViews>
    <sheetView zoomScale="140" workbookViewId="0">
      <selection activeCell="C13" sqref="C13"/>
    </sheetView>
  </sheetViews>
  <sheetFormatPr baseColWidth="10" defaultColWidth="12.6640625" defaultRowHeight="15.75" customHeight="1" x14ac:dyDescent="0.15"/>
  <sheetData>
    <row r="1" spans="1:6" ht="15.75" customHeight="1" x14ac:dyDescent="0.15">
      <c r="A1" s="17" t="s">
        <v>98</v>
      </c>
      <c r="E1" s="17"/>
      <c r="F1" s="17"/>
    </row>
    <row r="2" spans="1:6" ht="15.75" customHeight="1" x14ac:dyDescent="0.15">
      <c r="B2" s="17" t="s">
        <v>1</v>
      </c>
      <c r="C2" s="17" t="s">
        <v>2</v>
      </c>
    </row>
    <row r="3" spans="1:6" ht="15.75" customHeight="1" x14ac:dyDescent="0.15">
      <c r="A3" s="2" t="s">
        <v>12</v>
      </c>
      <c r="B3" s="6">
        <v>48</v>
      </c>
      <c r="C3">
        <v>200</v>
      </c>
      <c r="D3" s="6" t="s">
        <v>198</v>
      </c>
    </row>
    <row r="4" spans="1:6" ht="15.75" customHeight="1" x14ac:dyDescent="0.15">
      <c r="A4" s="2" t="s">
        <v>162</v>
      </c>
      <c r="B4">
        <v>1.6</v>
      </c>
      <c r="C4">
        <v>10.5</v>
      </c>
      <c r="D4" s="6" t="s">
        <v>163</v>
      </c>
    </row>
    <row r="5" spans="1:6" ht="15.75" customHeight="1" x14ac:dyDescent="0.15">
      <c r="A5" s="2" t="s">
        <v>199</v>
      </c>
      <c r="B5">
        <v>8</v>
      </c>
      <c r="C5">
        <v>35</v>
      </c>
      <c r="D5" s="16" t="s">
        <v>202</v>
      </c>
    </row>
    <row r="6" spans="1:6" ht="15.75" customHeight="1" x14ac:dyDescent="0.15">
      <c r="A6" s="2" t="s">
        <v>11</v>
      </c>
      <c r="D6" s="6" t="s">
        <v>193</v>
      </c>
    </row>
    <row r="7" spans="1:6" ht="15.75" customHeight="1" x14ac:dyDescent="0.15">
      <c r="A7" s="2" t="s">
        <v>147</v>
      </c>
      <c r="B7">
        <v>2.5000000000000001E-2</v>
      </c>
      <c r="C7">
        <v>0.1</v>
      </c>
      <c r="D7" s="6" t="s">
        <v>194</v>
      </c>
    </row>
    <row r="8" spans="1:6" ht="15.75" customHeight="1" x14ac:dyDescent="0.15">
      <c r="A8" s="2" t="s">
        <v>176</v>
      </c>
      <c r="B8">
        <v>25</v>
      </c>
      <c r="C8" s="6">
        <v>0</v>
      </c>
    </row>
    <row r="9" spans="1:6" ht="15.75" customHeight="1" x14ac:dyDescent="0.15">
      <c r="A9" s="2" t="s">
        <v>200</v>
      </c>
      <c r="D9" s="6" t="s">
        <v>201</v>
      </c>
    </row>
    <row r="10" spans="1:6" ht="15.75" customHeight="1" x14ac:dyDescent="0.15">
      <c r="A10" s="2" t="s">
        <v>9</v>
      </c>
      <c r="B10">
        <v>10</v>
      </c>
      <c r="C10">
        <v>50</v>
      </c>
      <c r="D10" s="6" t="s">
        <v>203</v>
      </c>
    </row>
    <row r="11" spans="1:6" ht="15.75" customHeight="1" x14ac:dyDescent="0.15">
      <c r="A11" s="17" t="s">
        <v>148</v>
      </c>
      <c r="B11">
        <f>SUM(B3:B10)</f>
        <v>92.625</v>
      </c>
      <c r="C11">
        <f>SUM(C3:C10)</f>
        <v>295.60000000000002</v>
      </c>
    </row>
    <row r="12" spans="1:6" ht="15.75" customHeight="1" x14ac:dyDescent="0.15">
      <c r="E12" s="6" t="s">
        <v>197</v>
      </c>
    </row>
  </sheetData>
  <hyperlinks>
    <hyperlink ref="D5" r:id="rId1" xr:uid="{2EFD1FAB-EC96-304F-B89F-60F271ACB9C9}"/>
  </hyperlink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20"/>
  <sheetViews>
    <sheetView zoomScale="137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9" sqref="C9"/>
    </sheetView>
  </sheetViews>
  <sheetFormatPr baseColWidth="10" defaultColWidth="12.6640625" defaultRowHeight="15.75" customHeight="1" x14ac:dyDescent="0.15"/>
  <cols>
    <col min="4" max="4" width="13.6640625" customWidth="1"/>
  </cols>
  <sheetData>
    <row r="1" spans="1:10" ht="15.75" customHeight="1" x14ac:dyDescent="0.15">
      <c r="B1" s="2"/>
      <c r="C1" s="40" t="s">
        <v>0</v>
      </c>
      <c r="D1" s="40" t="s">
        <v>20</v>
      </c>
      <c r="E1" s="25" t="s">
        <v>21</v>
      </c>
      <c r="F1" s="40" t="s">
        <v>22</v>
      </c>
      <c r="G1" s="1" t="s">
        <v>23</v>
      </c>
      <c r="H1" s="1" t="s">
        <v>18</v>
      </c>
      <c r="I1" s="1" t="s">
        <v>19</v>
      </c>
      <c r="J1" s="1"/>
    </row>
    <row r="2" spans="1:10" ht="15.75" customHeight="1" x14ac:dyDescent="0.15">
      <c r="A2" s="1" t="s">
        <v>92</v>
      </c>
      <c r="B2" s="2">
        <f>main!B2</f>
        <v>3</v>
      </c>
      <c r="C2" s="5" t="s">
        <v>5</v>
      </c>
      <c r="D2" s="5"/>
      <c r="E2" s="24"/>
      <c r="H2" s="5"/>
      <c r="I2" s="8"/>
      <c r="J2" s="2"/>
    </row>
    <row r="3" spans="1:10" ht="15.75" customHeight="1" x14ac:dyDescent="0.15">
      <c r="A3" s="17" t="s">
        <v>82</v>
      </c>
      <c r="B3">
        <f>main!B3</f>
        <v>1</v>
      </c>
      <c r="C3" s="2" t="s">
        <v>24</v>
      </c>
      <c r="D3" s="2">
        <f>$B$5*E3</f>
        <v>157.83312983971393</v>
      </c>
      <c r="E3" s="23">
        <v>27</v>
      </c>
      <c r="F3" s="2">
        <f>D3*$B$4</f>
        <v>946.9987790382836</v>
      </c>
      <c r="G3" s="2" t="s">
        <v>26</v>
      </c>
      <c r="H3" s="2">
        <v>1850</v>
      </c>
      <c r="I3" s="4" t="s">
        <v>25</v>
      </c>
    </row>
    <row r="4" spans="1:10" ht="15.75" customHeight="1" x14ac:dyDescent="0.15">
      <c r="A4" s="17" t="s">
        <v>93</v>
      </c>
      <c r="B4" s="2">
        <f>6*B3*(B3+1)/2</f>
        <v>6</v>
      </c>
      <c r="C4" s="2" t="s">
        <v>27</v>
      </c>
      <c r="D4" s="2">
        <f t="shared" ref="D4:D9" si="0">$B$5*E4</f>
        <v>0</v>
      </c>
      <c r="E4" s="24"/>
      <c r="F4" s="2">
        <f t="shared" ref="F4:F9" si="1">D4*$B$4</f>
        <v>0</v>
      </c>
      <c r="H4" s="2">
        <v>2530</v>
      </c>
      <c r="I4" s="2" t="s">
        <v>28</v>
      </c>
    </row>
    <row r="5" spans="1:10" ht="15.75" customHeight="1" x14ac:dyDescent="0.15">
      <c r="A5" s="3" t="s">
        <v>94</v>
      </c>
      <c r="B5" s="2">
        <f>((3*SQRT(3))/2)*(B2/2)^2</f>
        <v>5.845671475544961</v>
      </c>
      <c r="C5" s="2" t="s">
        <v>29</v>
      </c>
      <c r="D5" s="2">
        <f t="shared" si="0"/>
        <v>701.48057706539532</v>
      </c>
      <c r="E5" s="23">
        <v>120</v>
      </c>
      <c r="F5" s="2">
        <f t="shared" si="1"/>
        <v>4208.8834623923722</v>
      </c>
      <c r="G5" s="2" t="s">
        <v>30</v>
      </c>
    </row>
    <row r="6" spans="1:10" ht="15.75" customHeight="1" x14ac:dyDescent="0.15">
      <c r="A6" s="1" t="s">
        <v>90</v>
      </c>
      <c r="B6">
        <f>(B7^2*3*SQRT(3)/2)*B4</f>
        <v>35.074028853269759</v>
      </c>
      <c r="C6" s="20" t="s">
        <v>86</v>
      </c>
      <c r="D6" s="18">
        <f t="shared" si="0"/>
        <v>192.90715869298373</v>
      </c>
      <c r="E6" s="26">
        <v>33</v>
      </c>
      <c r="F6" s="18">
        <f t="shared" si="1"/>
        <v>1157.4429521579023</v>
      </c>
      <c r="G6" s="27" t="s">
        <v>88</v>
      </c>
    </row>
    <row r="7" spans="1:10" ht="15.75" customHeight="1" x14ac:dyDescent="0.15">
      <c r="A7" s="1" t="s">
        <v>91</v>
      </c>
      <c r="B7">
        <f>B2/2</f>
        <v>1.5</v>
      </c>
      <c r="C7" s="2" t="s">
        <v>31</v>
      </c>
      <c r="D7" s="2">
        <f>$B$5*E7</f>
        <v>0</v>
      </c>
      <c r="E7" s="24"/>
      <c r="F7" s="2">
        <f t="shared" si="1"/>
        <v>0</v>
      </c>
    </row>
    <row r="8" spans="1:10" ht="15.75" customHeight="1" x14ac:dyDescent="0.15">
      <c r="A8" s="17" t="s">
        <v>131</v>
      </c>
      <c r="B8" s="35">
        <f>B5/D9</f>
        <v>2.5000000000000001E-2</v>
      </c>
      <c r="C8" s="5" t="s">
        <v>32</v>
      </c>
      <c r="D8" s="2">
        <f t="shared" si="0"/>
        <v>1075.0189843527185</v>
      </c>
      <c r="E8" s="23">
        <v>183.9</v>
      </c>
      <c r="F8" s="2">
        <f t="shared" si="1"/>
        <v>6450.1139061163103</v>
      </c>
      <c r="G8" s="2" t="s">
        <v>17</v>
      </c>
      <c r="H8" s="2">
        <v>2210</v>
      </c>
    </row>
    <row r="9" spans="1:10" ht="15.75" customHeight="1" x14ac:dyDescent="0.15">
      <c r="B9" s="34" t="s">
        <v>132</v>
      </c>
      <c r="C9" s="20" t="s">
        <v>87</v>
      </c>
      <c r="D9" s="18">
        <f t="shared" si="0"/>
        <v>233.82685902179844</v>
      </c>
      <c r="E9" s="26">
        <v>40</v>
      </c>
      <c r="F9" s="18">
        <f t="shared" si="1"/>
        <v>1402.9611541307906</v>
      </c>
      <c r="G9" s="29" t="s">
        <v>16</v>
      </c>
    </row>
    <row r="10" spans="1:10" ht="15.75" customHeight="1" x14ac:dyDescent="0.15">
      <c r="J10" s="2"/>
    </row>
    <row r="11" spans="1:10" ht="15.75" customHeight="1" x14ac:dyDescent="0.15">
      <c r="C11" s="32" t="s">
        <v>124</v>
      </c>
      <c r="J11" s="5"/>
    </row>
    <row r="12" spans="1:10" ht="15.75" customHeight="1" x14ac:dyDescent="0.15">
      <c r="C12" s="32" t="s">
        <v>125</v>
      </c>
      <c r="J12" s="2"/>
    </row>
    <row r="13" spans="1:10" ht="15.75" customHeight="1" x14ac:dyDescent="0.15">
      <c r="J13" s="2"/>
    </row>
    <row r="14" spans="1:10" ht="15.75" customHeight="1" x14ac:dyDescent="0.15">
      <c r="J14" s="2"/>
    </row>
    <row r="16" spans="1:10" ht="15.75" customHeight="1" x14ac:dyDescent="0.15">
      <c r="A16" s="14"/>
    </row>
    <row r="19" spans="9:13" ht="15.75" customHeight="1" x14ac:dyDescent="0.15">
      <c r="I19" s="15"/>
      <c r="J19" s="2"/>
      <c r="K19" s="27"/>
      <c r="L19" s="1"/>
      <c r="M19" s="1"/>
    </row>
    <row r="20" spans="9:13" ht="15.75" customHeight="1" x14ac:dyDescent="0.15">
      <c r="I20" s="2"/>
      <c r="J20" s="2"/>
    </row>
  </sheetData>
  <hyperlinks>
    <hyperlink ref="I3" r:id="rId1" xr:uid="{05FAA74A-DDE0-864A-8C67-404E4EDC3B62}"/>
    <hyperlink ref="G9" r:id="rId2" xr:uid="{EC90A7E9-8467-5E4C-A48F-15CB1A6CDC4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3"/>
  <sheetViews>
    <sheetView zoomScale="115" zoomScaleNormal="75" workbookViewId="0">
      <selection activeCell="E13" sqref="E13"/>
    </sheetView>
  </sheetViews>
  <sheetFormatPr baseColWidth="10" defaultColWidth="12.6640625" defaultRowHeight="15.75" customHeight="1" x14ac:dyDescent="0.15"/>
  <cols>
    <col min="7" max="7" width="14.6640625" customWidth="1"/>
  </cols>
  <sheetData>
    <row r="1" spans="1:26" ht="15.75" customHeight="1" x14ac:dyDescent="0.15">
      <c r="A1" s="1" t="s">
        <v>68</v>
      </c>
      <c r="B1" s="1" t="s">
        <v>33</v>
      </c>
      <c r="C1" s="1" t="s">
        <v>34</v>
      </c>
      <c r="D1" s="9" t="s">
        <v>36</v>
      </c>
      <c r="E1" s="1" t="s">
        <v>39</v>
      </c>
      <c r="F1" s="1" t="s">
        <v>37</v>
      </c>
      <c r="G1" s="1" t="s">
        <v>69</v>
      </c>
      <c r="H1" s="1" t="s">
        <v>38</v>
      </c>
      <c r="I1" s="1" t="s">
        <v>40</v>
      </c>
      <c r="J1" s="15" t="s">
        <v>85</v>
      </c>
      <c r="K1" s="1" t="s">
        <v>97</v>
      </c>
      <c r="L1" s="10" t="s">
        <v>70</v>
      </c>
    </row>
    <row r="2" spans="1:26" ht="15.75" customHeight="1" x14ac:dyDescent="0.15">
      <c r="A2" s="2" t="s">
        <v>46</v>
      </c>
      <c r="B2" s="2">
        <v>2.2000000000000002</v>
      </c>
      <c r="D2" s="11" t="s">
        <v>47</v>
      </c>
      <c r="E2" s="2" t="s">
        <v>49</v>
      </c>
      <c r="F2" s="2" t="s">
        <v>48</v>
      </c>
      <c r="G2" s="2">
        <f>73/2.2</f>
        <v>33.18181818181818</v>
      </c>
      <c r="H2" s="2"/>
      <c r="I2" s="2"/>
      <c r="J2" s="2"/>
      <c r="K2" s="2"/>
      <c r="L2" s="7" t="s">
        <v>50</v>
      </c>
    </row>
    <row r="3" spans="1:26" ht="15" customHeight="1" x14ac:dyDescent="0.15">
      <c r="A3" s="18" t="s">
        <v>29</v>
      </c>
      <c r="B3" s="2" t="s">
        <v>51</v>
      </c>
      <c r="D3" s="11" t="s">
        <v>52</v>
      </c>
      <c r="E3" s="2" t="s">
        <v>54</v>
      </c>
      <c r="F3" s="5" t="s">
        <v>53</v>
      </c>
      <c r="G3" s="2">
        <f>410/3.2</f>
        <v>128.125</v>
      </c>
      <c r="H3" s="2" t="s">
        <v>71</v>
      </c>
      <c r="L3" s="4" t="s">
        <v>55</v>
      </c>
    </row>
    <row r="4" spans="1:26" ht="15.75" customHeight="1" x14ac:dyDescent="0.15">
      <c r="A4" s="2" t="s">
        <v>27</v>
      </c>
      <c r="B4" s="2">
        <v>2.5299999999999998</v>
      </c>
      <c r="D4" s="22" t="s">
        <v>56</v>
      </c>
      <c r="E4" s="2" t="s">
        <v>58</v>
      </c>
      <c r="F4" s="2" t="s">
        <v>57</v>
      </c>
      <c r="G4" s="2">
        <f>90/2.53</f>
        <v>35.573122529644273</v>
      </c>
      <c r="I4" s="2" t="s">
        <v>72</v>
      </c>
      <c r="J4" s="2"/>
      <c r="K4" s="2"/>
    </row>
    <row r="5" spans="1:26" ht="15.75" customHeight="1" x14ac:dyDescent="0.15">
      <c r="A5" s="2" t="s">
        <v>64</v>
      </c>
      <c r="B5" s="2">
        <v>2.23</v>
      </c>
      <c r="D5" s="12" t="s">
        <v>73</v>
      </c>
      <c r="E5" s="2" t="s">
        <v>74</v>
      </c>
      <c r="F5" s="2" t="s">
        <v>75</v>
      </c>
      <c r="G5" s="2">
        <f>64/2.23</f>
        <v>28.699551569506728</v>
      </c>
      <c r="H5" s="2" t="s">
        <v>71</v>
      </c>
    </row>
    <row r="6" spans="1:26" ht="15.75" customHeight="1" x14ac:dyDescent="0.15">
      <c r="A6" s="2" t="s">
        <v>24</v>
      </c>
      <c r="B6" s="2">
        <v>1.85</v>
      </c>
      <c r="D6" s="11" t="s">
        <v>44</v>
      </c>
      <c r="E6" s="2">
        <v>190</v>
      </c>
      <c r="F6" s="2" t="s">
        <v>65</v>
      </c>
      <c r="G6" s="2">
        <f>287/1.85</f>
        <v>155.13513513513513</v>
      </c>
      <c r="I6" s="2" t="s">
        <v>63</v>
      </c>
      <c r="J6" s="2"/>
      <c r="K6" s="2"/>
    </row>
    <row r="7" spans="1:26" ht="15.75" customHeight="1" x14ac:dyDescent="0.15">
      <c r="A7" s="2" t="s">
        <v>32</v>
      </c>
      <c r="D7" s="11"/>
    </row>
    <row r="9" spans="1:26" ht="15.75" customHeight="1" x14ac:dyDescent="0.15">
      <c r="A9" s="13" t="s">
        <v>96</v>
      </c>
      <c r="B9" s="13"/>
      <c r="C9" s="13">
        <v>4</v>
      </c>
      <c r="D9" s="13">
        <v>5</v>
      </c>
      <c r="E9" s="13"/>
      <c r="F9" s="13">
        <v>4</v>
      </c>
      <c r="G9" s="13">
        <v>3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2" spans="1:26" ht="15.75" customHeight="1" x14ac:dyDescent="0.15">
      <c r="A12" s="1" t="s">
        <v>76</v>
      </c>
      <c r="B12" s="1" t="s">
        <v>33</v>
      </c>
      <c r="C12" s="1" t="s">
        <v>34</v>
      </c>
      <c r="D12" s="9" t="s">
        <v>36</v>
      </c>
      <c r="E12" s="1" t="s">
        <v>39</v>
      </c>
      <c r="F12" s="1" t="s">
        <v>37</v>
      </c>
      <c r="G12" s="1"/>
      <c r="H12" s="1" t="s">
        <v>38</v>
      </c>
      <c r="I12" s="1" t="s">
        <v>40</v>
      </c>
      <c r="J12" s="1" t="s">
        <v>35</v>
      </c>
      <c r="L12" s="1"/>
    </row>
    <row r="13" spans="1:26" ht="15.75" customHeight="1" x14ac:dyDescent="0.15">
      <c r="A13" s="2" t="s">
        <v>41</v>
      </c>
      <c r="B13" s="2">
        <v>2.7</v>
      </c>
      <c r="C13" s="2" t="s">
        <v>42</v>
      </c>
      <c r="D13" s="2" t="s">
        <v>43</v>
      </c>
      <c r="E13" s="2" t="s">
        <v>45</v>
      </c>
      <c r="F13" s="2" t="s">
        <v>44</v>
      </c>
      <c r="G13" s="2"/>
      <c r="I13" s="2"/>
      <c r="J13" s="2"/>
      <c r="L13" s="4" t="s">
        <v>77</v>
      </c>
    </row>
    <row r="14" spans="1:26" ht="15.75" customHeight="1" x14ac:dyDescent="0.15">
      <c r="A14" s="18" t="s">
        <v>78</v>
      </c>
      <c r="B14" s="18"/>
      <c r="C14" s="21" t="s">
        <v>79</v>
      </c>
      <c r="D14" s="11" t="s">
        <v>95</v>
      </c>
      <c r="E14" s="19"/>
      <c r="F14" s="19"/>
      <c r="G14" s="19"/>
      <c r="H14" s="19"/>
      <c r="I14" s="19"/>
      <c r="J14" s="18" t="s">
        <v>80</v>
      </c>
      <c r="K14" s="19"/>
      <c r="L14" s="30" t="s">
        <v>46</v>
      </c>
    </row>
    <row r="15" spans="1:26" ht="15.75" customHeight="1" x14ac:dyDescent="0.15">
      <c r="A15" s="2" t="s">
        <v>59</v>
      </c>
      <c r="B15" s="2"/>
      <c r="C15" s="5" t="s">
        <v>60</v>
      </c>
      <c r="D15" s="11" t="s">
        <v>81</v>
      </c>
      <c r="E15" s="2"/>
      <c r="F15" s="2" t="s">
        <v>61</v>
      </c>
      <c r="G15" s="2"/>
      <c r="H15" s="2" t="s">
        <v>62</v>
      </c>
      <c r="I15" s="2" t="s">
        <v>63</v>
      </c>
      <c r="J15" s="2"/>
    </row>
    <row r="16" spans="1:26" ht="15.75" customHeight="1" x14ac:dyDescent="0.15">
      <c r="D16" s="2"/>
    </row>
    <row r="17" spans="1:6" ht="15.75" customHeight="1" x14ac:dyDescent="0.15">
      <c r="A17" s="1" t="s">
        <v>4</v>
      </c>
      <c r="D17" s="2"/>
    </row>
    <row r="18" spans="1:6" ht="15.75" customHeight="1" x14ac:dyDescent="0.15">
      <c r="A18" s="2" t="s">
        <v>66</v>
      </c>
      <c r="D18" s="2"/>
    </row>
    <row r="19" spans="1:6" ht="15.75" customHeight="1" x14ac:dyDescent="0.15">
      <c r="A19" s="2" t="s">
        <v>67</v>
      </c>
      <c r="D19" s="2"/>
    </row>
    <row r="20" spans="1:6" ht="15.75" customHeight="1" x14ac:dyDescent="0.15">
      <c r="D20" s="2"/>
    </row>
    <row r="21" spans="1:6" ht="15.75" customHeight="1" x14ac:dyDescent="0.15">
      <c r="A21" s="17"/>
      <c r="B21" s="17"/>
      <c r="C21" s="17"/>
      <c r="D21" s="17"/>
      <c r="E21" s="2"/>
    </row>
    <row r="22" spans="1:6" ht="15.75" customHeight="1" x14ac:dyDescent="0.15">
      <c r="A22" s="6"/>
      <c r="E22" s="2"/>
    </row>
    <row r="23" spans="1:6" ht="15.75" customHeight="1" x14ac:dyDescent="0.15">
      <c r="A23" s="6"/>
      <c r="E23" s="2"/>
    </row>
    <row r="26" spans="1:6" ht="15.75" customHeight="1" x14ac:dyDescent="0.15">
      <c r="A26" s="17"/>
    </row>
    <row r="27" spans="1:6" ht="15.75" customHeight="1" x14ac:dyDescent="0.15">
      <c r="C27" s="6"/>
      <c r="D27" s="2"/>
      <c r="E27" s="6"/>
      <c r="F27" s="6"/>
    </row>
    <row r="28" spans="1:6" ht="15.75" customHeight="1" x14ac:dyDescent="0.15">
      <c r="B28" s="6"/>
      <c r="C28" s="6"/>
      <c r="D28" s="2"/>
    </row>
    <row r="29" spans="1:6" ht="15.75" customHeight="1" x14ac:dyDescent="0.15">
      <c r="A29" s="6"/>
      <c r="B29" s="6"/>
      <c r="D29" s="2"/>
    </row>
    <row r="30" spans="1:6" ht="15.75" customHeight="1" x14ac:dyDescent="0.15">
      <c r="A30" s="6"/>
      <c r="D30" s="2"/>
    </row>
    <row r="31" spans="1:6" ht="15.75" customHeight="1" x14ac:dyDescent="0.15">
      <c r="D31" s="2"/>
    </row>
    <row r="32" spans="1:6" ht="15.75" customHeight="1" x14ac:dyDescent="0.15">
      <c r="D32" s="2"/>
    </row>
    <row r="33" spans="4:4" ht="15.75" customHeight="1" x14ac:dyDescent="0.15">
      <c r="D33" s="2"/>
    </row>
    <row r="34" spans="4:4" ht="15.75" customHeight="1" x14ac:dyDescent="0.15">
      <c r="D34" s="2"/>
    </row>
    <row r="35" spans="4:4" ht="15.75" customHeight="1" x14ac:dyDescent="0.15">
      <c r="D35" s="2"/>
    </row>
    <row r="36" spans="4:4" ht="15.75" customHeight="1" x14ac:dyDescent="0.15">
      <c r="D36" s="2"/>
    </row>
    <row r="37" spans="4:4" ht="15.75" customHeight="1" x14ac:dyDescent="0.15">
      <c r="D37" s="2"/>
    </row>
    <row r="38" spans="4:4" ht="15.75" customHeight="1" x14ac:dyDescent="0.15">
      <c r="D38" s="2"/>
    </row>
    <row r="39" spans="4:4" ht="15.75" customHeight="1" x14ac:dyDescent="0.15">
      <c r="D39" s="2"/>
    </row>
    <row r="40" spans="4:4" ht="13" x14ac:dyDescent="0.15">
      <c r="D40" s="2"/>
    </row>
    <row r="41" spans="4:4" ht="13" x14ac:dyDescent="0.15">
      <c r="D41" s="2"/>
    </row>
    <row r="42" spans="4:4" ht="13" x14ac:dyDescent="0.15">
      <c r="D42" s="2"/>
    </row>
    <row r="43" spans="4:4" ht="13" x14ac:dyDescent="0.15">
      <c r="D43" s="2"/>
    </row>
    <row r="44" spans="4:4" ht="13" x14ac:dyDescent="0.15">
      <c r="D44" s="2"/>
    </row>
    <row r="45" spans="4:4" ht="13" x14ac:dyDescent="0.15">
      <c r="D45" s="2"/>
    </row>
    <row r="46" spans="4:4" ht="13" x14ac:dyDescent="0.15">
      <c r="D46" s="2"/>
    </row>
    <row r="47" spans="4:4" ht="13" x14ac:dyDescent="0.15">
      <c r="D47" s="2"/>
    </row>
    <row r="48" spans="4:4" ht="13" x14ac:dyDescent="0.15">
      <c r="D48" s="2"/>
    </row>
    <row r="49" spans="4:4" ht="13" x14ac:dyDescent="0.15">
      <c r="D49" s="2"/>
    </row>
    <row r="50" spans="4:4" ht="13" x14ac:dyDescent="0.15">
      <c r="D50" s="2"/>
    </row>
    <row r="51" spans="4:4" ht="13" x14ac:dyDescent="0.15">
      <c r="D51" s="2"/>
    </row>
    <row r="52" spans="4:4" ht="13" x14ac:dyDescent="0.15">
      <c r="D52" s="2"/>
    </row>
    <row r="53" spans="4:4" ht="13" x14ac:dyDescent="0.15">
      <c r="D53" s="2"/>
    </row>
    <row r="54" spans="4:4" ht="13" x14ac:dyDescent="0.15">
      <c r="D54" s="2"/>
    </row>
    <row r="55" spans="4:4" ht="13" x14ac:dyDescent="0.15">
      <c r="D55" s="2"/>
    </row>
    <row r="56" spans="4:4" ht="13" x14ac:dyDescent="0.15">
      <c r="D56" s="2"/>
    </row>
    <row r="57" spans="4:4" ht="13" x14ac:dyDescent="0.15">
      <c r="D57" s="2"/>
    </row>
    <row r="58" spans="4:4" ht="13" x14ac:dyDescent="0.15">
      <c r="D58" s="2"/>
    </row>
    <row r="59" spans="4:4" ht="13" x14ac:dyDescent="0.15">
      <c r="D59" s="2"/>
    </row>
    <row r="60" spans="4:4" ht="13" x14ac:dyDescent="0.15">
      <c r="D60" s="2"/>
    </row>
    <row r="61" spans="4:4" ht="13" x14ac:dyDescent="0.15">
      <c r="D61" s="2"/>
    </row>
    <row r="62" spans="4:4" ht="13" x14ac:dyDescent="0.15">
      <c r="D62" s="2"/>
    </row>
    <row r="63" spans="4:4" ht="13" x14ac:dyDescent="0.15">
      <c r="D63" s="2"/>
    </row>
    <row r="64" spans="4:4" ht="13" x14ac:dyDescent="0.15">
      <c r="D64" s="2"/>
    </row>
    <row r="65" spans="4:4" ht="13" x14ac:dyDescent="0.15">
      <c r="D65" s="2"/>
    </row>
    <row r="66" spans="4:4" ht="13" x14ac:dyDescent="0.15">
      <c r="D66" s="2"/>
    </row>
    <row r="67" spans="4:4" ht="13" x14ac:dyDescent="0.15">
      <c r="D67" s="2"/>
    </row>
    <row r="68" spans="4:4" ht="13" x14ac:dyDescent="0.15">
      <c r="D68" s="2"/>
    </row>
    <row r="69" spans="4:4" ht="13" x14ac:dyDescent="0.15">
      <c r="D69" s="2"/>
    </row>
    <row r="70" spans="4:4" ht="13" x14ac:dyDescent="0.15">
      <c r="D70" s="2"/>
    </row>
    <row r="71" spans="4:4" ht="13" x14ac:dyDescent="0.15">
      <c r="D71" s="2"/>
    </row>
    <row r="72" spans="4:4" ht="13" x14ac:dyDescent="0.15">
      <c r="D72" s="2"/>
    </row>
    <row r="73" spans="4:4" ht="13" x14ac:dyDescent="0.15">
      <c r="D73" s="2"/>
    </row>
    <row r="74" spans="4:4" ht="13" x14ac:dyDescent="0.15">
      <c r="D74" s="2"/>
    </row>
    <row r="75" spans="4:4" ht="13" x14ac:dyDescent="0.15">
      <c r="D75" s="2"/>
    </row>
    <row r="76" spans="4:4" ht="13" x14ac:dyDescent="0.15">
      <c r="D76" s="2"/>
    </row>
    <row r="77" spans="4:4" ht="13" x14ac:dyDescent="0.15">
      <c r="D77" s="2"/>
    </row>
    <row r="78" spans="4:4" ht="13" x14ac:dyDescent="0.15">
      <c r="D78" s="2"/>
    </row>
    <row r="79" spans="4:4" ht="13" x14ac:dyDescent="0.15">
      <c r="D79" s="2"/>
    </row>
    <row r="80" spans="4:4" ht="13" x14ac:dyDescent="0.15">
      <c r="D80" s="2"/>
    </row>
    <row r="81" spans="4:4" ht="13" x14ac:dyDescent="0.15">
      <c r="D81" s="2"/>
    </row>
    <row r="82" spans="4:4" ht="13" x14ac:dyDescent="0.15">
      <c r="D82" s="2"/>
    </row>
    <row r="83" spans="4:4" ht="13" x14ac:dyDescent="0.15">
      <c r="D83" s="2"/>
    </row>
    <row r="84" spans="4:4" ht="13" x14ac:dyDescent="0.15">
      <c r="D84" s="2"/>
    </row>
    <row r="85" spans="4:4" ht="13" x14ac:dyDescent="0.15">
      <c r="D85" s="2"/>
    </row>
    <row r="86" spans="4:4" ht="13" x14ac:dyDescent="0.15">
      <c r="D86" s="2"/>
    </row>
    <row r="87" spans="4:4" ht="13" x14ac:dyDescent="0.15">
      <c r="D87" s="2"/>
    </row>
    <row r="88" spans="4:4" ht="13" x14ac:dyDescent="0.15">
      <c r="D88" s="2"/>
    </row>
    <row r="89" spans="4:4" ht="13" x14ac:dyDescent="0.15">
      <c r="D89" s="2"/>
    </row>
    <row r="90" spans="4:4" ht="13" x14ac:dyDescent="0.15">
      <c r="D90" s="2"/>
    </row>
    <row r="91" spans="4:4" ht="13" x14ac:dyDescent="0.15">
      <c r="D91" s="2"/>
    </row>
    <row r="92" spans="4:4" ht="13" x14ac:dyDescent="0.15">
      <c r="D92" s="2"/>
    </row>
    <row r="93" spans="4:4" ht="13" x14ac:dyDescent="0.15">
      <c r="D93" s="2"/>
    </row>
    <row r="94" spans="4:4" ht="13" x14ac:dyDescent="0.15">
      <c r="D94" s="2"/>
    </row>
    <row r="95" spans="4:4" ht="13" x14ac:dyDescent="0.15">
      <c r="D95" s="2"/>
    </row>
    <row r="96" spans="4:4" ht="13" x14ac:dyDescent="0.15">
      <c r="D96" s="2"/>
    </row>
    <row r="97" spans="4:4" ht="13" x14ac:dyDescent="0.15">
      <c r="D97" s="2"/>
    </row>
    <row r="98" spans="4:4" ht="13" x14ac:dyDescent="0.15">
      <c r="D98" s="2"/>
    </row>
    <row r="99" spans="4:4" ht="13" x14ac:dyDescent="0.15">
      <c r="D99" s="2"/>
    </row>
    <row r="100" spans="4:4" ht="13" x14ac:dyDescent="0.15">
      <c r="D100" s="2"/>
    </row>
    <row r="101" spans="4:4" ht="13" x14ac:dyDescent="0.15">
      <c r="D101" s="2"/>
    </row>
    <row r="102" spans="4:4" ht="13" x14ac:dyDescent="0.15">
      <c r="D102" s="2"/>
    </row>
    <row r="103" spans="4:4" ht="13" x14ac:dyDescent="0.15">
      <c r="D103" s="2"/>
    </row>
    <row r="104" spans="4:4" ht="13" x14ac:dyDescent="0.15">
      <c r="D104" s="2"/>
    </row>
    <row r="105" spans="4:4" ht="13" x14ac:dyDescent="0.15">
      <c r="D105" s="2"/>
    </row>
    <row r="106" spans="4:4" ht="13" x14ac:dyDescent="0.15">
      <c r="D106" s="2"/>
    </row>
    <row r="107" spans="4:4" ht="13" x14ac:dyDescent="0.15">
      <c r="D107" s="2"/>
    </row>
    <row r="108" spans="4:4" ht="13" x14ac:dyDescent="0.15">
      <c r="D108" s="2"/>
    </row>
    <row r="109" spans="4:4" ht="13" x14ac:dyDescent="0.15">
      <c r="D109" s="2"/>
    </row>
    <row r="110" spans="4:4" ht="13" x14ac:dyDescent="0.15">
      <c r="D110" s="2"/>
    </row>
    <row r="111" spans="4:4" ht="13" x14ac:dyDescent="0.15">
      <c r="D111" s="2"/>
    </row>
    <row r="112" spans="4:4" ht="13" x14ac:dyDescent="0.15">
      <c r="D112" s="2"/>
    </row>
    <row r="113" spans="4:4" ht="13" x14ac:dyDescent="0.15">
      <c r="D113" s="2"/>
    </row>
    <row r="114" spans="4:4" ht="13" x14ac:dyDescent="0.15">
      <c r="D114" s="2"/>
    </row>
    <row r="115" spans="4:4" ht="13" x14ac:dyDescent="0.15">
      <c r="D115" s="2"/>
    </row>
    <row r="116" spans="4:4" ht="13" x14ac:dyDescent="0.15">
      <c r="D116" s="2"/>
    </row>
    <row r="117" spans="4:4" ht="13" x14ac:dyDescent="0.15">
      <c r="D117" s="2"/>
    </row>
    <row r="118" spans="4:4" ht="13" x14ac:dyDescent="0.15">
      <c r="D118" s="2"/>
    </row>
    <row r="119" spans="4:4" ht="13" x14ac:dyDescent="0.15">
      <c r="D119" s="2"/>
    </row>
    <row r="120" spans="4:4" ht="13" x14ac:dyDescent="0.15">
      <c r="D120" s="2"/>
    </row>
    <row r="121" spans="4:4" ht="13" x14ac:dyDescent="0.15">
      <c r="D121" s="2"/>
    </row>
    <row r="122" spans="4:4" ht="13" x14ac:dyDescent="0.15">
      <c r="D122" s="2"/>
    </row>
    <row r="123" spans="4:4" ht="13" x14ac:dyDescent="0.15">
      <c r="D123" s="2"/>
    </row>
    <row r="124" spans="4:4" ht="13" x14ac:dyDescent="0.15">
      <c r="D124" s="2"/>
    </row>
    <row r="125" spans="4:4" ht="13" x14ac:dyDescent="0.15">
      <c r="D125" s="2"/>
    </row>
    <row r="126" spans="4:4" ht="13" x14ac:dyDescent="0.15">
      <c r="D126" s="2"/>
    </row>
    <row r="127" spans="4:4" ht="13" x14ac:dyDescent="0.15">
      <c r="D127" s="2"/>
    </row>
    <row r="128" spans="4:4" ht="13" x14ac:dyDescent="0.15">
      <c r="D128" s="2"/>
    </row>
    <row r="129" spans="4:4" ht="13" x14ac:dyDescent="0.15">
      <c r="D129" s="2"/>
    </row>
    <row r="130" spans="4:4" ht="13" x14ac:dyDescent="0.15">
      <c r="D130" s="2"/>
    </row>
    <row r="131" spans="4:4" ht="13" x14ac:dyDescent="0.15">
      <c r="D131" s="2"/>
    </row>
    <row r="132" spans="4:4" ht="13" x14ac:dyDescent="0.15">
      <c r="D132" s="2"/>
    </row>
    <row r="133" spans="4:4" ht="13" x14ac:dyDescent="0.15">
      <c r="D133" s="2"/>
    </row>
    <row r="134" spans="4:4" ht="13" x14ac:dyDescent="0.15">
      <c r="D134" s="2"/>
    </row>
    <row r="135" spans="4:4" ht="13" x14ac:dyDescent="0.15">
      <c r="D135" s="2"/>
    </row>
    <row r="136" spans="4:4" ht="13" x14ac:dyDescent="0.15">
      <c r="D136" s="2"/>
    </row>
    <row r="137" spans="4:4" ht="13" x14ac:dyDescent="0.15">
      <c r="D137" s="2"/>
    </row>
    <row r="138" spans="4:4" ht="13" x14ac:dyDescent="0.15">
      <c r="D138" s="2"/>
    </row>
    <row r="139" spans="4:4" ht="13" x14ac:dyDescent="0.15">
      <c r="D139" s="2"/>
    </row>
    <row r="140" spans="4:4" ht="13" x14ac:dyDescent="0.15">
      <c r="D140" s="2"/>
    </row>
    <row r="141" spans="4:4" ht="13" x14ac:dyDescent="0.15">
      <c r="D141" s="2"/>
    </row>
    <row r="142" spans="4:4" ht="13" x14ac:dyDescent="0.15">
      <c r="D142" s="2"/>
    </row>
    <row r="143" spans="4:4" ht="13" x14ac:dyDescent="0.15">
      <c r="D143" s="2"/>
    </row>
    <row r="144" spans="4:4" ht="13" x14ac:dyDescent="0.15">
      <c r="D144" s="2"/>
    </row>
    <row r="145" spans="4:4" ht="13" x14ac:dyDescent="0.15">
      <c r="D145" s="2"/>
    </row>
    <row r="146" spans="4:4" ht="13" x14ac:dyDescent="0.15">
      <c r="D146" s="2"/>
    </row>
    <row r="147" spans="4:4" ht="13" x14ac:dyDescent="0.15">
      <c r="D147" s="2"/>
    </row>
    <row r="148" spans="4:4" ht="13" x14ac:dyDescent="0.15">
      <c r="D148" s="2"/>
    </row>
    <row r="149" spans="4:4" ht="13" x14ac:dyDescent="0.15">
      <c r="D149" s="2"/>
    </row>
    <row r="150" spans="4:4" ht="13" x14ac:dyDescent="0.15">
      <c r="D150" s="2"/>
    </row>
    <row r="151" spans="4:4" ht="13" x14ac:dyDescent="0.15">
      <c r="D151" s="2"/>
    </row>
    <row r="152" spans="4:4" ht="13" x14ac:dyDescent="0.15">
      <c r="D152" s="2"/>
    </row>
    <row r="153" spans="4:4" ht="13" x14ac:dyDescent="0.15">
      <c r="D153" s="2"/>
    </row>
    <row r="154" spans="4:4" ht="13" x14ac:dyDescent="0.15">
      <c r="D154" s="2"/>
    </row>
    <row r="155" spans="4:4" ht="13" x14ac:dyDescent="0.15">
      <c r="D155" s="2"/>
    </row>
    <row r="156" spans="4:4" ht="13" x14ac:dyDescent="0.15">
      <c r="D156" s="2"/>
    </row>
    <row r="157" spans="4:4" ht="13" x14ac:dyDescent="0.15">
      <c r="D157" s="2"/>
    </row>
    <row r="158" spans="4:4" ht="13" x14ac:dyDescent="0.15">
      <c r="D158" s="2"/>
    </row>
    <row r="159" spans="4:4" ht="13" x14ac:dyDescent="0.15">
      <c r="D159" s="2"/>
    </row>
    <row r="160" spans="4:4" ht="13" x14ac:dyDescent="0.15">
      <c r="D160" s="2"/>
    </row>
    <row r="161" spans="4:4" ht="13" x14ac:dyDescent="0.15">
      <c r="D161" s="2"/>
    </row>
    <row r="162" spans="4:4" ht="13" x14ac:dyDescent="0.15">
      <c r="D162" s="2"/>
    </row>
    <row r="163" spans="4:4" ht="13" x14ac:dyDescent="0.15">
      <c r="D163" s="2"/>
    </row>
    <row r="164" spans="4:4" ht="13" x14ac:dyDescent="0.15">
      <c r="D164" s="2"/>
    </row>
    <row r="165" spans="4:4" ht="13" x14ac:dyDescent="0.15">
      <c r="D165" s="2"/>
    </row>
    <row r="166" spans="4:4" ht="13" x14ac:dyDescent="0.15">
      <c r="D166" s="2"/>
    </row>
    <row r="167" spans="4:4" ht="13" x14ac:dyDescent="0.15">
      <c r="D167" s="2"/>
    </row>
    <row r="168" spans="4:4" ht="13" x14ac:dyDescent="0.15">
      <c r="D168" s="2"/>
    </row>
    <row r="169" spans="4:4" ht="13" x14ac:dyDescent="0.15">
      <c r="D169" s="2"/>
    </row>
    <row r="170" spans="4:4" ht="13" x14ac:dyDescent="0.15">
      <c r="D170" s="2"/>
    </row>
    <row r="171" spans="4:4" ht="13" x14ac:dyDescent="0.15">
      <c r="D171" s="2"/>
    </row>
    <row r="172" spans="4:4" ht="13" x14ac:dyDescent="0.15">
      <c r="D172" s="2"/>
    </row>
    <row r="173" spans="4:4" ht="13" x14ac:dyDescent="0.15">
      <c r="D173" s="2"/>
    </row>
    <row r="174" spans="4:4" ht="13" x14ac:dyDescent="0.15">
      <c r="D174" s="2"/>
    </row>
    <row r="175" spans="4:4" ht="13" x14ac:dyDescent="0.15">
      <c r="D175" s="2"/>
    </row>
    <row r="176" spans="4:4" ht="13" x14ac:dyDescent="0.15">
      <c r="D176" s="2"/>
    </row>
    <row r="177" spans="4:4" ht="13" x14ac:dyDescent="0.15">
      <c r="D177" s="2"/>
    </row>
    <row r="178" spans="4:4" ht="13" x14ac:dyDescent="0.15">
      <c r="D178" s="2"/>
    </row>
    <row r="179" spans="4:4" ht="13" x14ac:dyDescent="0.15">
      <c r="D179" s="2"/>
    </row>
    <row r="180" spans="4:4" ht="13" x14ac:dyDescent="0.15">
      <c r="D180" s="2"/>
    </row>
    <row r="181" spans="4:4" ht="13" x14ac:dyDescent="0.15">
      <c r="D181" s="2"/>
    </row>
    <row r="182" spans="4:4" ht="13" x14ac:dyDescent="0.15">
      <c r="D182" s="2"/>
    </row>
    <row r="183" spans="4:4" ht="13" x14ac:dyDescent="0.15">
      <c r="D183" s="2"/>
    </row>
    <row r="184" spans="4:4" ht="13" x14ac:dyDescent="0.15">
      <c r="D184" s="2"/>
    </row>
    <row r="185" spans="4:4" ht="13" x14ac:dyDescent="0.15">
      <c r="D185" s="2"/>
    </row>
    <row r="186" spans="4:4" ht="13" x14ac:dyDescent="0.15">
      <c r="D186" s="2"/>
    </row>
    <row r="187" spans="4:4" ht="13" x14ac:dyDescent="0.15">
      <c r="D187" s="2"/>
    </row>
    <row r="188" spans="4:4" ht="13" x14ac:dyDescent="0.15">
      <c r="D188" s="2"/>
    </row>
    <row r="189" spans="4:4" ht="13" x14ac:dyDescent="0.15">
      <c r="D189" s="2"/>
    </row>
    <row r="190" spans="4:4" ht="13" x14ac:dyDescent="0.15">
      <c r="D190" s="2"/>
    </row>
    <row r="191" spans="4:4" ht="13" x14ac:dyDescent="0.15">
      <c r="D191" s="2"/>
    </row>
    <row r="192" spans="4:4" ht="13" x14ac:dyDescent="0.15">
      <c r="D192" s="2"/>
    </row>
    <row r="193" spans="4:4" ht="13" x14ac:dyDescent="0.15">
      <c r="D193" s="2"/>
    </row>
    <row r="194" spans="4:4" ht="13" x14ac:dyDescent="0.15">
      <c r="D194" s="2"/>
    </row>
    <row r="195" spans="4:4" ht="13" x14ac:dyDescent="0.15">
      <c r="D195" s="2"/>
    </row>
    <row r="196" spans="4:4" ht="13" x14ac:dyDescent="0.15">
      <c r="D196" s="2"/>
    </row>
    <row r="197" spans="4:4" ht="13" x14ac:dyDescent="0.15">
      <c r="D197" s="2"/>
    </row>
    <row r="198" spans="4:4" ht="13" x14ac:dyDescent="0.15">
      <c r="D198" s="2"/>
    </row>
    <row r="199" spans="4:4" ht="13" x14ac:dyDescent="0.15">
      <c r="D199" s="2"/>
    </row>
    <row r="200" spans="4:4" ht="13" x14ac:dyDescent="0.15">
      <c r="D200" s="2"/>
    </row>
    <row r="201" spans="4:4" ht="13" x14ac:dyDescent="0.15">
      <c r="D201" s="2"/>
    </row>
    <row r="202" spans="4:4" ht="13" x14ac:dyDescent="0.15">
      <c r="D202" s="2"/>
    </row>
    <row r="203" spans="4:4" ht="13" x14ac:dyDescent="0.15">
      <c r="D203" s="2"/>
    </row>
    <row r="204" spans="4:4" ht="13" x14ac:dyDescent="0.15">
      <c r="D204" s="2"/>
    </row>
    <row r="205" spans="4:4" ht="13" x14ac:dyDescent="0.15">
      <c r="D205" s="2"/>
    </row>
    <row r="206" spans="4:4" ht="13" x14ac:dyDescent="0.15">
      <c r="D206" s="2"/>
    </row>
    <row r="207" spans="4:4" ht="13" x14ac:dyDescent="0.15">
      <c r="D207" s="2"/>
    </row>
    <row r="208" spans="4:4" ht="13" x14ac:dyDescent="0.15">
      <c r="D208" s="2"/>
    </row>
    <row r="209" spans="4:4" ht="13" x14ac:dyDescent="0.15">
      <c r="D209" s="2"/>
    </row>
    <row r="210" spans="4:4" ht="13" x14ac:dyDescent="0.15">
      <c r="D210" s="2"/>
    </row>
    <row r="211" spans="4:4" ht="13" x14ac:dyDescent="0.15">
      <c r="D211" s="2"/>
    </row>
    <row r="212" spans="4:4" ht="13" x14ac:dyDescent="0.15">
      <c r="D212" s="2"/>
    </row>
    <row r="213" spans="4:4" ht="13" x14ac:dyDescent="0.15">
      <c r="D213" s="2"/>
    </row>
    <row r="214" spans="4:4" ht="13" x14ac:dyDescent="0.15">
      <c r="D214" s="2"/>
    </row>
    <row r="215" spans="4:4" ht="13" x14ac:dyDescent="0.15">
      <c r="D215" s="2"/>
    </row>
    <row r="216" spans="4:4" ht="13" x14ac:dyDescent="0.15">
      <c r="D216" s="2"/>
    </row>
    <row r="217" spans="4:4" ht="13" x14ac:dyDescent="0.15">
      <c r="D217" s="2"/>
    </row>
    <row r="218" spans="4:4" ht="13" x14ac:dyDescent="0.15">
      <c r="D218" s="2"/>
    </row>
    <row r="219" spans="4:4" ht="13" x14ac:dyDescent="0.15">
      <c r="D219" s="2"/>
    </row>
    <row r="220" spans="4:4" ht="13" x14ac:dyDescent="0.15">
      <c r="D220" s="2"/>
    </row>
    <row r="221" spans="4:4" ht="13" x14ac:dyDescent="0.15">
      <c r="D221" s="2"/>
    </row>
    <row r="222" spans="4:4" ht="13" x14ac:dyDescent="0.15">
      <c r="D222" s="2"/>
    </row>
    <row r="223" spans="4:4" ht="13" x14ac:dyDescent="0.15">
      <c r="D223" s="2"/>
    </row>
    <row r="224" spans="4:4" ht="13" x14ac:dyDescent="0.15">
      <c r="D224" s="2"/>
    </row>
    <row r="225" spans="4:4" ht="13" x14ac:dyDescent="0.15">
      <c r="D225" s="2"/>
    </row>
    <row r="226" spans="4:4" ht="13" x14ac:dyDescent="0.15">
      <c r="D226" s="2"/>
    </row>
    <row r="227" spans="4:4" ht="13" x14ac:dyDescent="0.15">
      <c r="D227" s="2"/>
    </row>
    <row r="228" spans="4:4" ht="13" x14ac:dyDescent="0.15">
      <c r="D228" s="2"/>
    </row>
    <row r="229" spans="4:4" ht="13" x14ac:dyDescent="0.15">
      <c r="D229" s="2"/>
    </row>
    <row r="230" spans="4:4" ht="13" x14ac:dyDescent="0.15">
      <c r="D230" s="2"/>
    </row>
    <row r="231" spans="4:4" ht="13" x14ac:dyDescent="0.15">
      <c r="D231" s="2"/>
    </row>
    <row r="232" spans="4:4" ht="13" x14ac:dyDescent="0.15">
      <c r="D232" s="2"/>
    </row>
    <row r="233" spans="4:4" ht="13" x14ac:dyDescent="0.15">
      <c r="D233" s="2"/>
    </row>
    <row r="234" spans="4:4" ht="13" x14ac:dyDescent="0.15">
      <c r="D234" s="2"/>
    </row>
    <row r="235" spans="4:4" ht="13" x14ac:dyDescent="0.15">
      <c r="D235" s="2"/>
    </row>
    <row r="236" spans="4:4" ht="13" x14ac:dyDescent="0.15">
      <c r="D236" s="2"/>
    </row>
    <row r="237" spans="4:4" ht="13" x14ac:dyDescent="0.15">
      <c r="D237" s="2"/>
    </row>
    <row r="238" spans="4:4" ht="13" x14ac:dyDescent="0.15">
      <c r="D238" s="2"/>
    </row>
    <row r="239" spans="4:4" ht="13" x14ac:dyDescent="0.15">
      <c r="D239" s="2"/>
    </row>
    <row r="240" spans="4:4" ht="13" x14ac:dyDescent="0.15">
      <c r="D240" s="2"/>
    </row>
    <row r="241" spans="4:4" ht="13" x14ac:dyDescent="0.15">
      <c r="D241" s="2"/>
    </row>
    <row r="242" spans="4:4" ht="13" x14ac:dyDescent="0.15">
      <c r="D242" s="2"/>
    </row>
    <row r="243" spans="4:4" ht="13" x14ac:dyDescent="0.15">
      <c r="D243" s="2"/>
    </row>
    <row r="244" spans="4:4" ht="13" x14ac:dyDescent="0.15">
      <c r="D244" s="2"/>
    </row>
    <row r="245" spans="4:4" ht="13" x14ac:dyDescent="0.15">
      <c r="D245" s="2"/>
    </row>
    <row r="246" spans="4:4" ht="13" x14ac:dyDescent="0.15">
      <c r="D246" s="2"/>
    </row>
    <row r="247" spans="4:4" ht="13" x14ac:dyDescent="0.15">
      <c r="D247" s="2"/>
    </row>
    <row r="248" spans="4:4" ht="13" x14ac:dyDescent="0.15">
      <c r="D248" s="2"/>
    </row>
    <row r="249" spans="4:4" ht="13" x14ac:dyDescent="0.15">
      <c r="D249" s="2"/>
    </row>
    <row r="250" spans="4:4" ht="13" x14ac:dyDescent="0.15">
      <c r="D250" s="2"/>
    </row>
    <row r="251" spans="4:4" ht="13" x14ac:dyDescent="0.15">
      <c r="D251" s="2"/>
    </row>
    <row r="252" spans="4:4" ht="13" x14ac:dyDescent="0.15">
      <c r="D252" s="2"/>
    </row>
    <row r="253" spans="4:4" ht="13" x14ac:dyDescent="0.15">
      <c r="D253" s="2"/>
    </row>
    <row r="254" spans="4:4" ht="13" x14ac:dyDescent="0.15">
      <c r="D254" s="2"/>
    </row>
    <row r="255" spans="4:4" ht="13" x14ac:dyDescent="0.15">
      <c r="D255" s="2"/>
    </row>
    <row r="256" spans="4:4" ht="13" x14ac:dyDescent="0.15">
      <c r="D256" s="2"/>
    </row>
    <row r="257" spans="4:4" ht="13" x14ac:dyDescent="0.15">
      <c r="D257" s="2"/>
    </row>
    <row r="258" spans="4:4" ht="13" x14ac:dyDescent="0.15">
      <c r="D258" s="2"/>
    </row>
    <row r="259" spans="4:4" ht="13" x14ac:dyDescent="0.15">
      <c r="D259" s="2"/>
    </row>
    <row r="260" spans="4:4" ht="13" x14ac:dyDescent="0.15">
      <c r="D260" s="2"/>
    </row>
    <row r="261" spans="4:4" ht="13" x14ac:dyDescent="0.15">
      <c r="D261" s="2"/>
    </row>
    <row r="262" spans="4:4" ht="13" x14ac:dyDescent="0.15">
      <c r="D262" s="2"/>
    </row>
    <row r="263" spans="4:4" ht="13" x14ac:dyDescent="0.15">
      <c r="D263" s="2"/>
    </row>
    <row r="264" spans="4:4" ht="13" x14ac:dyDescent="0.15">
      <c r="D264" s="2"/>
    </row>
    <row r="265" spans="4:4" ht="13" x14ac:dyDescent="0.15">
      <c r="D265" s="2"/>
    </row>
    <row r="266" spans="4:4" ht="13" x14ac:dyDescent="0.15">
      <c r="D266" s="2"/>
    </row>
    <row r="267" spans="4:4" ht="13" x14ac:dyDescent="0.15">
      <c r="D267" s="2"/>
    </row>
    <row r="268" spans="4:4" ht="13" x14ac:dyDescent="0.15">
      <c r="D268" s="2"/>
    </row>
    <row r="269" spans="4:4" ht="13" x14ac:dyDescent="0.15">
      <c r="D269" s="2"/>
    </row>
    <row r="270" spans="4:4" ht="13" x14ac:dyDescent="0.15">
      <c r="D270" s="2"/>
    </row>
    <row r="271" spans="4:4" ht="13" x14ac:dyDescent="0.15">
      <c r="D271" s="2"/>
    </row>
    <row r="272" spans="4:4" ht="13" x14ac:dyDescent="0.15">
      <c r="D272" s="2"/>
    </row>
    <row r="273" spans="4:4" ht="13" x14ac:dyDescent="0.15">
      <c r="D273" s="2"/>
    </row>
    <row r="274" spans="4:4" ht="13" x14ac:dyDescent="0.15">
      <c r="D274" s="2"/>
    </row>
    <row r="275" spans="4:4" ht="13" x14ac:dyDescent="0.15">
      <c r="D275" s="2"/>
    </row>
    <row r="276" spans="4:4" ht="13" x14ac:dyDescent="0.15">
      <c r="D276" s="2"/>
    </row>
    <row r="277" spans="4:4" ht="13" x14ac:dyDescent="0.15">
      <c r="D277" s="2"/>
    </row>
    <row r="278" spans="4:4" ht="13" x14ac:dyDescent="0.15">
      <c r="D278" s="2"/>
    </row>
    <row r="279" spans="4:4" ht="13" x14ac:dyDescent="0.15">
      <c r="D279" s="2"/>
    </row>
    <row r="280" spans="4:4" ht="13" x14ac:dyDescent="0.15">
      <c r="D280" s="2"/>
    </row>
    <row r="281" spans="4:4" ht="13" x14ac:dyDescent="0.15">
      <c r="D281" s="2"/>
    </row>
    <row r="282" spans="4:4" ht="13" x14ac:dyDescent="0.15">
      <c r="D282" s="2"/>
    </row>
    <row r="283" spans="4:4" ht="13" x14ac:dyDescent="0.15">
      <c r="D283" s="2"/>
    </row>
    <row r="284" spans="4:4" ht="13" x14ac:dyDescent="0.15">
      <c r="D284" s="2"/>
    </row>
    <row r="285" spans="4:4" ht="13" x14ac:dyDescent="0.15">
      <c r="D285" s="2"/>
    </row>
    <row r="286" spans="4:4" ht="13" x14ac:dyDescent="0.15">
      <c r="D286" s="2"/>
    </row>
    <row r="287" spans="4:4" ht="13" x14ac:dyDescent="0.15">
      <c r="D287" s="2"/>
    </row>
    <row r="288" spans="4:4" ht="13" x14ac:dyDescent="0.15">
      <c r="D288" s="2"/>
    </row>
    <row r="289" spans="4:4" ht="13" x14ac:dyDescent="0.15">
      <c r="D289" s="2"/>
    </row>
    <row r="290" spans="4:4" ht="13" x14ac:dyDescent="0.15">
      <c r="D290" s="2"/>
    </row>
    <row r="291" spans="4:4" ht="13" x14ac:dyDescent="0.15">
      <c r="D291" s="2"/>
    </row>
    <row r="292" spans="4:4" ht="13" x14ac:dyDescent="0.15">
      <c r="D292" s="2"/>
    </row>
    <row r="293" spans="4:4" ht="13" x14ac:dyDescent="0.15">
      <c r="D293" s="2"/>
    </row>
    <row r="294" spans="4:4" ht="13" x14ac:dyDescent="0.15">
      <c r="D294" s="2"/>
    </row>
    <row r="295" spans="4:4" ht="13" x14ac:dyDescent="0.15">
      <c r="D295" s="2"/>
    </row>
    <row r="296" spans="4:4" ht="13" x14ac:dyDescent="0.15">
      <c r="D296" s="2"/>
    </row>
    <row r="297" spans="4:4" ht="13" x14ac:dyDescent="0.15">
      <c r="D297" s="2"/>
    </row>
    <row r="298" spans="4:4" ht="13" x14ac:dyDescent="0.15">
      <c r="D298" s="2"/>
    </row>
    <row r="299" spans="4:4" ht="13" x14ac:dyDescent="0.15">
      <c r="D299" s="2"/>
    </row>
    <row r="300" spans="4:4" ht="13" x14ac:dyDescent="0.15">
      <c r="D300" s="2"/>
    </row>
    <row r="301" spans="4:4" ht="13" x14ac:dyDescent="0.15">
      <c r="D301" s="2"/>
    </row>
    <row r="302" spans="4:4" ht="13" x14ac:dyDescent="0.15">
      <c r="D302" s="2"/>
    </row>
    <row r="303" spans="4:4" ht="13" x14ac:dyDescent="0.15">
      <c r="D303" s="2"/>
    </row>
    <row r="304" spans="4:4" ht="13" x14ac:dyDescent="0.15">
      <c r="D304" s="2"/>
    </row>
    <row r="305" spans="4:4" ht="13" x14ac:dyDescent="0.15">
      <c r="D305" s="2"/>
    </row>
    <row r="306" spans="4:4" ht="13" x14ac:dyDescent="0.15">
      <c r="D306" s="2"/>
    </row>
    <row r="307" spans="4:4" ht="13" x14ac:dyDescent="0.15">
      <c r="D307" s="2"/>
    </row>
    <row r="308" spans="4:4" ht="13" x14ac:dyDescent="0.15">
      <c r="D308" s="2"/>
    </row>
    <row r="309" spans="4:4" ht="13" x14ac:dyDescent="0.15">
      <c r="D309" s="2"/>
    </row>
    <row r="310" spans="4:4" ht="13" x14ac:dyDescent="0.15">
      <c r="D310" s="2"/>
    </row>
    <row r="311" spans="4:4" ht="13" x14ac:dyDescent="0.15">
      <c r="D311" s="2"/>
    </row>
    <row r="312" spans="4:4" ht="13" x14ac:dyDescent="0.15">
      <c r="D312" s="2"/>
    </row>
    <row r="313" spans="4:4" ht="13" x14ac:dyDescent="0.15">
      <c r="D313" s="2"/>
    </row>
    <row r="314" spans="4:4" ht="13" x14ac:dyDescent="0.15">
      <c r="D314" s="2"/>
    </row>
    <row r="315" spans="4:4" ht="13" x14ac:dyDescent="0.15">
      <c r="D315" s="2"/>
    </row>
    <row r="316" spans="4:4" ht="13" x14ac:dyDescent="0.15">
      <c r="D316" s="2"/>
    </row>
    <row r="317" spans="4:4" ht="13" x14ac:dyDescent="0.15">
      <c r="D317" s="2"/>
    </row>
    <row r="318" spans="4:4" ht="13" x14ac:dyDescent="0.15">
      <c r="D318" s="2"/>
    </row>
    <row r="319" spans="4:4" ht="13" x14ac:dyDescent="0.15">
      <c r="D319" s="2"/>
    </row>
    <row r="320" spans="4:4" ht="13" x14ac:dyDescent="0.15">
      <c r="D320" s="2"/>
    </row>
    <row r="321" spans="4:4" ht="13" x14ac:dyDescent="0.15">
      <c r="D321" s="2"/>
    </row>
    <row r="322" spans="4:4" ht="13" x14ac:dyDescent="0.15">
      <c r="D322" s="2"/>
    </row>
    <row r="323" spans="4:4" ht="13" x14ac:dyDescent="0.15">
      <c r="D323" s="2"/>
    </row>
    <row r="324" spans="4:4" ht="13" x14ac:dyDescent="0.15">
      <c r="D324" s="2"/>
    </row>
    <row r="325" spans="4:4" ht="13" x14ac:dyDescent="0.15">
      <c r="D325" s="2"/>
    </row>
    <row r="326" spans="4:4" ht="13" x14ac:dyDescent="0.15">
      <c r="D326" s="2"/>
    </row>
    <row r="327" spans="4:4" ht="13" x14ac:dyDescent="0.15">
      <c r="D327" s="2"/>
    </row>
    <row r="328" spans="4:4" ht="13" x14ac:dyDescent="0.15">
      <c r="D328" s="2"/>
    </row>
    <row r="329" spans="4:4" ht="13" x14ac:dyDescent="0.15">
      <c r="D329" s="2"/>
    </row>
    <row r="330" spans="4:4" ht="13" x14ac:dyDescent="0.15">
      <c r="D330" s="2"/>
    </row>
    <row r="331" spans="4:4" ht="13" x14ac:dyDescent="0.15">
      <c r="D331" s="2"/>
    </row>
    <row r="332" spans="4:4" ht="13" x14ac:dyDescent="0.15">
      <c r="D332" s="2"/>
    </row>
    <row r="333" spans="4:4" ht="13" x14ac:dyDescent="0.15">
      <c r="D333" s="2"/>
    </row>
    <row r="334" spans="4:4" ht="13" x14ac:dyDescent="0.15">
      <c r="D334" s="2"/>
    </row>
    <row r="335" spans="4:4" ht="13" x14ac:dyDescent="0.15">
      <c r="D335" s="2"/>
    </row>
    <row r="336" spans="4:4" ht="13" x14ac:dyDescent="0.15">
      <c r="D336" s="2"/>
    </row>
    <row r="337" spans="4:4" ht="13" x14ac:dyDescent="0.15">
      <c r="D337" s="2"/>
    </row>
    <row r="338" spans="4:4" ht="13" x14ac:dyDescent="0.15">
      <c r="D338" s="2"/>
    </row>
    <row r="339" spans="4:4" ht="13" x14ac:dyDescent="0.15">
      <c r="D339" s="2"/>
    </row>
    <row r="340" spans="4:4" ht="13" x14ac:dyDescent="0.15">
      <c r="D340" s="2"/>
    </row>
    <row r="341" spans="4:4" ht="13" x14ac:dyDescent="0.15">
      <c r="D341" s="2"/>
    </row>
    <row r="342" spans="4:4" ht="13" x14ac:dyDescent="0.15">
      <c r="D342" s="2"/>
    </row>
    <row r="343" spans="4:4" ht="13" x14ac:dyDescent="0.15">
      <c r="D343" s="2"/>
    </row>
    <row r="344" spans="4:4" ht="13" x14ac:dyDescent="0.15">
      <c r="D344" s="2"/>
    </row>
    <row r="345" spans="4:4" ht="13" x14ac:dyDescent="0.15">
      <c r="D345" s="2"/>
    </row>
    <row r="346" spans="4:4" ht="13" x14ac:dyDescent="0.15">
      <c r="D346" s="2"/>
    </row>
    <row r="347" spans="4:4" ht="13" x14ac:dyDescent="0.15">
      <c r="D347" s="2"/>
    </row>
    <row r="348" spans="4:4" ht="13" x14ac:dyDescent="0.15">
      <c r="D348" s="2"/>
    </row>
    <row r="349" spans="4:4" ht="13" x14ac:dyDescent="0.15">
      <c r="D349" s="2"/>
    </row>
    <row r="350" spans="4:4" ht="13" x14ac:dyDescent="0.15">
      <c r="D350" s="2"/>
    </row>
    <row r="351" spans="4:4" ht="13" x14ac:dyDescent="0.15">
      <c r="D351" s="2"/>
    </row>
    <row r="352" spans="4:4" ht="13" x14ac:dyDescent="0.15">
      <c r="D352" s="2"/>
    </row>
    <row r="353" spans="4:4" ht="13" x14ac:dyDescent="0.15">
      <c r="D353" s="2"/>
    </row>
    <row r="354" spans="4:4" ht="13" x14ac:dyDescent="0.15">
      <c r="D354" s="2"/>
    </row>
    <row r="355" spans="4:4" ht="13" x14ac:dyDescent="0.15">
      <c r="D355" s="2"/>
    </row>
    <row r="356" spans="4:4" ht="13" x14ac:dyDescent="0.15">
      <c r="D356" s="2"/>
    </row>
    <row r="357" spans="4:4" ht="13" x14ac:dyDescent="0.15">
      <c r="D357" s="2"/>
    </row>
    <row r="358" spans="4:4" ht="13" x14ac:dyDescent="0.15">
      <c r="D358" s="2"/>
    </row>
    <row r="359" spans="4:4" ht="13" x14ac:dyDescent="0.15">
      <c r="D359" s="2"/>
    </row>
    <row r="360" spans="4:4" ht="13" x14ac:dyDescent="0.15">
      <c r="D360" s="2"/>
    </row>
    <row r="361" spans="4:4" ht="13" x14ac:dyDescent="0.15">
      <c r="D361" s="2"/>
    </row>
    <row r="362" spans="4:4" ht="13" x14ac:dyDescent="0.15">
      <c r="D362" s="2"/>
    </row>
    <row r="363" spans="4:4" ht="13" x14ac:dyDescent="0.15">
      <c r="D363" s="2"/>
    </row>
    <row r="364" spans="4:4" ht="13" x14ac:dyDescent="0.15">
      <c r="D364" s="2"/>
    </row>
    <row r="365" spans="4:4" ht="13" x14ac:dyDescent="0.15">
      <c r="D365" s="2"/>
    </row>
    <row r="366" spans="4:4" ht="13" x14ac:dyDescent="0.15">
      <c r="D366" s="2"/>
    </row>
    <row r="367" spans="4:4" ht="13" x14ac:dyDescent="0.15">
      <c r="D367" s="2"/>
    </row>
    <row r="368" spans="4:4" ht="13" x14ac:dyDescent="0.15">
      <c r="D368" s="2"/>
    </row>
    <row r="369" spans="4:4" ht="13" x14ac:dyDescent="0.15">
      <c r="D369" s="2"/>
    </row>
    <row r="370" spans="4:4" ht="13" x14ac:dyDescent="0.15">
      <c r="D370" s="2"/>
    </row>
    <row r="371" spans="4:4" ht="13" x14ac:dyDescent="0.15">
      <c r="D371" s="2"/>
    </row>
    <row r="372" spans="4:4" ht="13" x14ac:dyDescent="0.15">
      <c r="D372" s="2"/>
    </row>
    <row r="373" spans="4:4" ht="13" x14ac:dyDescent="0.15">
      <c r="D373" s="2"/>
    </row>
    <row r="374" spans="4:4" ht="13" x14ac:dyDescent="0.15">
      <c r="D374" s="2"/>
    </row>
    <row r="375" spans="4:4" ht="13" x14ac:dyDescent="0.15">
      <c r="D375" s="2"/>
    </row>
    <row r="376" spans="4:4" ht="13" x14ac:dyDescent="0.15">
      <c r="D376" s="2"/>
    </row>
    <row r="377" spans="4:4" ht="13" x14ac:dyDescent="0.15">
      <c r="D377" s="2"/>
    </row>
    <row r="378" spans="4:4" ht="13" x14ac:dyDescent="0.15">
      <c r="D378" s="2"/>
    </row>
    <row r="379" spans="4:4" ht="13" x14ac:dyDescent="0.15">
      <c r="D379" s="2"/>
    </row>
    <row r="380" spans="4:4" ht="13" x14ac:dyDescent="0.15">
      <c r="D380" s="2"/>
    </row>
    <row r="381" spans="4:4" ht="13" x14ac:dyDescent="0.15">
      <c r="D381" s="2"/>
    </row>
    <row r="382" spans="4:4" ht="13" x14ac:dyDescent="0.15">
      <c r="D382" s="2"/>
    </row>
    <row r="383" spans="4:4" ht="13" x14ac:dyDescent="0.15">
      <c r="D383" s="2"/>
    </row>
    <row r="384" spans="4:4" ht="13" x14ac:dyDescent="0.15">
      <c r="D384" s="2"/>
    </row>
    <row r="385" spans="4:4" ht="13" x14ac:dyDescent="0.15">
      <c r="D385" s="2"/>
    </row>
    <row r="386" spans="4:4" ht="13" x14ac:dyDescent="0.15">
      <c r="D386" s="2"/>
    </row>
    <row r="387" spans="4:4" ht="13" x14ac:dyDescent="0.15">
      <c r="D387" s="2"/>
    </row>
    <row r="388" spans="4:4" ht="13" x14ac:dyDescent="0.15">
      <c r="D388" s="2"/>
    </row>
    <row r="389" spans="4:4" ht="13" x14ac:dyDescent="0.15">
      <c r="D389" s="2"/>
    </row>
    <row r="390" spans="4:4" ht="13" x14ac:dyDescent="0.15">
      <c r="D390" s="2"/>
    </row>
    <row r="391" spans="4:4" ht="13" x14ac:dyDescent="0.15">
      <c r="D391" s="2"/>
    </row>
    <row r="392" spans="4:4" ht="13" x14ac:dyDescent="0.15">
      <c r="D392" s="2"/>
    </row>
    <row r="393" spans="4:4" ht="13" x14ac:dyDescent="0.15">
      <c r="D393" s="2"/>
    </row>
    <row r="394" spans="4:4" ht="13" x14ac:dyDescent="0.15">
      <c r="D394" s="2"/>
    </row>
    <row r="395" spans="4:4" ht="13" x14ac:dyDescent="0.15">
      <c r="D395" s="2"/>
    </row>
    <row r="396" spans="4:4" ht="13" x14ac:dyDescent="0.15">
      <c r="D396" s="2"/>
    </row>
    <row r="397" spans="4:4" ht="13" x14ac:dyDescent="0.15">
      <c r="D397" s="2"/>
    </row>
    <row r="398" spans="4:4" ht="13" x14ac:dyDescent="0.15">
      <c r="D398" s="2"/>
    </row>
    <row r="399" spans="4:4" ht="13" x14ac:dyDescent="0.15">
      <c r="D399" s="2"/>
    </row>
    <row r="400" spans="4:4" ht="13" x14ac:dyDescent="0.15">
      <c r="D400" s="2"/>
    </row>
    <row r="401" spans="4:4" ht="13" x14ac:dyDescent="0.15">
      <c r="D401" s="2"/>
    </row>
    <row r="402" spans="4:4" ht="13" x14ac:dyDescent="0.15">
      <c r="D402" s="2"/>
    </row>
    <row r="403" spans="4:4" ht="13" x14ac:dyDescent="0.15">
      <c r="D403" s="2"/>
    </row>
    <row r="404" spans="4:4" ht="13" x14ac:dyDescent="0.15">
      <c r="D404" s="2"/>
    </row>
    <row r="405" spans="4:4" ht="13" x14ac:dyDescent="0.15">
      <c r="D405" s="2"/>
    </row>
    <row r="406" spans="4:4" ht="13" x14ac:dyDescent="0.15">
      <c r="D406" s="2"/>
    </row>
    <row r="407" spans="4:4" ht="13" x14ac:dyDescent="0.15">
      <c r="D407" s="2"/>
    </row>
    <row r="408" spans="4:4" ht="13" x14ac:dyDescent="0.15">
      <c r="D408" s="2"/>
    </row>
    <row r="409" spans="4:4" ht="13" x14ac:dyDescent="0.15">
      <c r="D409" s="2"/>
    </row>
    <row r="410" spans="4:4" ht="13" x14ac:dyDescent="0.15">
      <c r="D410" s="2"/>
    </row>
    <row r="411" spans="4:4" ht="13" x14ac:dyDescent="0.15">
      <c r="D411" s="2"/>
    </row>
    <row r="412" spans="4:4" ht="13" x14ac:dyDescent="0.15">
      <c r="D412" s="2"/>
    </row>
    <row r="413" spans="4:4" ht="13" x14ac:dyDescent="0.15">
      <c r="D413" s="2"/>
    </row>
    <row r="414" spans="4:4" ht="13" x14ac:dyDescent="0.15">
      <c r="D414" s="2"/>
    </row>
    <row r="415" spans="4:4" ht="13" x14ac:dyDescent="0.15">
      <c r="D415" s="2"/>
    </row>
    <row r="416" spans="4:4" ht="13" x14ac:dyDescent="0.15">
      <c r="D416" s="2"/>
    </row>
    <row r="417" spans="4:4" ht="13" x14ac:dyDescent="0.15">
      <c r="D417" s="2"/>
    </row>
    <row r="418" spans="4:4" ht="13" x14ac:dyDescent="0.15">
      <c r="D418" s="2"/>
    </row>
    <row r="419" spans="4:4" ht="13" x14ac:dyDescent="0.15">
      <c r="D419" s="2"/>
    </row>
    <row r="420" spans="4:4" ht="13" x14ac:dyDescent="0.15">
      <c r="D420" s="2"/>
    </row>
    <row r="421" spans="4:4" ht="13" x14ac:dyDescent="0.15">
      <c r="D421" s="2"/>
    </row>
    <row r="422" spans="4:4" ht="13" x14ac:dyDescent="0.15">
      <c r="D422" s="2"/>
    </row>
    <row r="423" spans="4:4" ht="13" x14ac:dyDescent="0.15">
      <c r="D423" s="2"/>
    </row>
    <row r="424" spans="4:4" ht="13" x14ac:dyDescent="0.15">
      <c r="D424" s="2"/>
    </row>
    <row r="425" spans="4:4" ht="13" x14ac:dyDescent="0.15">
      <c r="D425" s="2"/>
    </row>
    <row r="426" spans="4:4" ht="13" x14ac:dyDescent="0.15">
      <c r="D426" s="2"/>
    </row>
    <row r="427" spans="4:4" ht="13" x14ac:dyDescent="0.15">
      <c r="D427" s="2"/>
    </row>
    <row r="428" spans="4:4" ht="13" x14ac:dyDescent="0.15">
      <c r="D428" s="2"/>
    </row>
    <row r="429" spans="4:4" ht="13" x14ac:dyDescent="0.15">
      <c r="D429" s="2"/>
    </row>
    <row r="430" spans="4:4" ht="13" x14ac:dyDescent="0.15">
      <c r="D430" s="2"/>
    </row>
    <row r="431" spans="4:4" ht="13" x14ac:dyDescent="0.15">
      <c r="D431" s="2"/>
    </row>
    <row r="432" spans="4:4" ht="13" x14ac:dyDescent="0.15">
      <c r="D432" s="2"/>
    </row>
    <row r="433" spans="4:4" ht="13" x14ac:dyDescent="0.15">
      <c r="D433" s="2"/>
    </row>
    <row r="434" spans="4:4" ht="13" x14ac:dyDescent="0.15">
      <c r="D434" s="2"/>
    </row>
    <row r="435" spans="4:4" ht="13" x14ac:dyDescent="0.15">
      <c r="D435" s="2"/>
    </row>
    <row r="436" spans="4:4" ht="13" x14ac:dyDescent="0.15">
      <c r="D436" s="2"/>
    </row>
    <row r="437" spans="4:4" ht="13" x14ac:dyDescent="0.15">
      <c r="D437" s="2"/>
    </row>
    <row r="438" spans="4:4" ht="13" x14ac:dyDescent="0.15">
      <c r="D438" s="2"/>
    </row>
    <row r="439" spans="4:4" ht="13" x14ac:dyDescent="0.15">
      <c r="D439" s="2"/>
    </row>
    <row r="440" spans="4:4" ht="13" x14ac:dyDescent="0.15">
      <c r="D440" s="2"/>
    </row>
    <row r="441" spans="4:4" ht="13" x14ac:dyDescent="0.15">
      <c r="D441" s="2"/>
    </row>
    <row r="442" spans="4:4" ht="13" x14ac:dyDescent="0.15">
      <c r="D442" s="2"/>
    </row>
    <row r="443" spans="4:4" ht="13" x14ac:dyDescent="0.15">
      <c r="D443" s="2"/>
    </row>
    <row r="444" spans="4:4" ht="13" x14ac:dyDescent="0.15">
      <c r="D444" s="2"/>
    </row>
    <row r="445" spans="4:4" ht="13" x14ac:dyDescent="0.15">
      <c r="D445" s="2"/>
    </row>
    <row r="446" spans="4:4" ht="13" x14ac:dyDescent="0.15">
      <c r="D446" s="2"/>
    </row>
    <row r="447" spans="4:4" ht="13" x14ac:dyDescent="0.15">
      <c r="D447" s="2"/>
    </row>
    <row r="448" spans="4:4" ht="13" x14ac:dyDescent="0.15">
      <c r="D448" s="2"/>
    </row>
    <row r="449" spans="4:4" ht="13" x14ac:dyDescent="0.15">
      <c r="D449" s="2"/>
    </row>
    <row r="450" spans="4:4" ht="13" x14ac:dyDescent="0.15">
      <c r="D450" s="2"/>
    </row>
    <row r="451" spans="4:4" ht="13" x14ac:dyDescent="0.15">
      <c r="D451" s="2"/>
    </row>
    <row r="452" spans="4:4" ht="13" x14ac:dyDescent="0.15">
      <c r="D452" s="2"/>
    </row>
    <row r="453" spans="4:4" ht="13" x14ac:dyDescent="0.15">
      <c r="D453" s="2"/>
    </row>
    <row r="454" spans="4:4" ht="13" x14ac:dyDescent="0.15">
      <c r="D454" s="2"/>
    </row>
    <row r="455" spans="4:4" ht="13" x14ac:dyDescent="0.15">
      <c r="D455" s="2"/>
    </row>
    <row r="456" spans="4:4" ht="13" x14ac:dyDescent="0.15">
      <c r="D456" s="2"/>
    </row>
    <row r="457" spans="4:4" ht="13" x14ac:dyDescent="0.15">
      <c r="D457" s="2"/>
    </row>
    <row r="458" spans="4:4" ht="13" x14ac:dyDescent="0.15">
      <c r="D458" s="2"/>
    </row>
    <row r="459" spans="4:4" ht="13" x14ac:dyDescent="0.15">
      <c r="D459" s="2"/>
    </row>
    <row r="460" spans="4:4" ht="13" x14ac:dyDescent="0.15">
      <c r="D460" s="2"/>
    </row>
    <row r="461" spans="4:4" ht="13" x14ac:dyDescent="0.15">
      <c r="D461" s="2"/>
    </row>
    <row r="462" spans="4:4" ht="13" x14ac:dyDescent="0.15">
      <c r="D462" s="2"/>
    </row>
    <row r="463" spans="4:4" ht="13" x14ac:dyDescent="0.15">
      <c r="D463" s="2"/>
    </row>
    <row r="464" spans="4:4" ht="13" x14ac:dyDescent="0.15">
      <c r="D464" s="2"/>
    </row>
    <row r="465" spans="4:4" ht="13" x14ac:dyDescent="0.15">
      <c r="D465" s="2"/>
    </row>
    <row r="466" spans="4:4" ht="13" x14ac:dyDescent="0.15">
      <c r="D466" s="2"/>
    </row>
    <row r="467" spans="4:4" ht="13" x14ac:dyDescent="0.15">
      <c r="D467" s="2"/>
    </row>
    <row r="468" spans="4:4" ht="13" x14ac:dyDescent="0.15">
      <c r="D468" s="2"/>
    </row>
    <row r="469" spans="4:4" ht="13" x14ac:dyDescent="0.15">
      <c r="D469" s="2"/>
    </row>
    <row r="470" spans="4:4" ht="13" x14ac:dyDescent="0.15">
      <c r="D470" s="2"/>
    </row>
    <row r="471" spans="4:4" ht="13" x14ac:dyDescent="0.15">
      <c r="D471" s="2"/>
    </row>
    <row r="472" spans="4:4" ht="13" x14ac:dyDescent="0.15">
      <c r="D472" s="2"/>
    </row>
    <row r="473" spans="4:4" ht="13" x14ac:dyDescent="0.15">
      <c r="D473" s="2"/>
    </row>
    <row r="474" spans="4:4" ht="13" x14ac:dyDescent="0.15">
      <c r="D474" s="2"/>
    </row>
    <row r="475" spans="4:4" ht="13" x14ac:dyDescent="0.15">
      <c r="D475" s="2"/>
    </row>
    <row r="476" spans="4:4" ht="13" x14ac:dyDescent="0.15">
      <c r="D476" s="2"/>
    </row>
    <row r="477" spans="4:4" ht="13" x14ac:dyDescent="0.15">
      <c r="D477" s="2"/>
    </row>
    <row r="478" spans="4:4" ht="13" x14ac:dyDescent="0.15">
      <c r="D478" s="2"/>
    </row>
    <row r="479" spans="4:4" ht="13" x14ac:dyDescent="0.15">
      <c r="D479" s="2"/>
    </row>
    <row r="480" spans="4:4" ht="13" x14ac:dyDescent="0.15">
      <c r="D480" s="2"/>
    </row>
    <row r="481" spans="4:4" ht="13" x14ac:dyDescent="0.15">
      <c r="D481" s="2"/>
    </row>
    <row r="482" spans="4:4" ht="13" x14ac:dyDescent="0.15">
      <c r="D482" s="2"/>
    </row>
    <row r="483" spans="4:4" ht="13" x14ac:dyDescent="0.15">
      <c r="D483" s="2"/>
    </row>
    <row r="484" spans="4:4" ht="13" x14ac:dyDescent="0.15">
      <c r="D484" s="2"/>
    </row>
    <row r="485" spans="4:4" ht="13" x14ac:dyDescent="0.15">
      <c r="D485" s="2"/>
    </row>
    <row r="486" spans="4:4" ht="13" x14ac:dyDescent="0.15">
      <c r="D486" s="2"/>
    </row>
    <row r="487" spans="4:4" ht="13" x14ac:dyDescent="0.15">
      <c r="D487" s="2"/>
    </row>
    <row r="488" spans="4:4" ht="13" x14ac:dyDescent="0.15">
      <c r="D488" s="2"/>
    </row>
    <row r="489" spans="4:4" ht="13" x14ac:dyDescent="0.15">
      <c r="D489" s="2"/>
    </row>
    <row r="490" spans="4:4" ht="13" x14ac:dyDescent="0.15">
      <c r="D490" s="2"/>
    </row>
    <row r="491" spans="4:4" ht="13" x14ac:dyDescent="0.15">
      <c r="D491" s="2"/>
    </row>
    <row r="492" spans="4:4" ht="13" x14ac:dyDescent="0.15">
      <c r="D492" s="2"/>
    </row>
    <row r="493" spans="4:4" ht="13" x14ac:dyDescent="0.15">
      <c r="D493" s="2"/>
    </row>
    <row r="494" spans="4:4" ht="13" x14ac:dyDescent="0.15">
      <c r="D494" s="2"/>
    </row>
    <row r="495" spans="4:4" ht="13" x14ac:dyDescent="0.15">
      <c r="D495" s="2"/>
    </row>
    <row r="496" spans="4:4" ht="13" x14ac:dyDescent="0.15">
      <c r="D496" s="2"/>
    </row>
    <row r="497" spans="4:4" ht="13" x14ac:dyDescent="0.15">
      <c r="D497" s="2"/>
    </row>
    <row r="498" spans="4:4" ht="13" x14ac:dyDescent="0.15">
      <c r="D498" s="2"/>
    </row>
    <row r="499" spans="4:4" ht="13" x14ac:dyDescent="0.15">
      <c r="D499" s="2"/>
    </row>
    <row r="500" spans="4:4" ht="13" x14ac:dyDescent="0.15">
      <c r="D500" s="2"/>
    </row>
    <row r="501" spans="4:4" ht="13" x14ac:dyDescent="0.15">
      <c r="D501" s="2"/>
    </row>
    <row r="502" spans="4:4" ht="13" x14ac:dyDescent="0.15">
      <c r="D502" s="2"/>
    </row>
    <row r="503" spans="4:4" ht="13" x14ac:dyDescent="0.15">
      <c r="D503" s="2"/>
    </row>
    <row r="504" spans="4:4" ht="13" x14ac:dyDescent="0.15">
      <c r="D504" s="2"/>
    </row>
    <row r="505" spans="4:4" ht="13" x14ac:dyDescent="0.15">
      <c r="D505" s="2"/>
    </row>
    <row r="506" spans="4:4" ht="13" x14ac:dyDescent="0.15">
      <c r="D506" s="2"/>
    </row>
    <row r="507" spans="4:4" ht="13" x14ac:dyDescent="0.15">
      <c r="D507" s="2"/>
    </row>
    <row r="508" spans="4:4" ht="13" x14ac:dyDescent="0.15">
      <c r="D508" s="2"/>
    </row>
    <row r="509" spans="4:4" ht="13" x14ac:dyDescent="0.15">
      <c r="D509" s="2"/>
    </row>
    <row r="510" spans="4:4" ht="13" x14ac:dyDescent="0.15">
      <c r="D510" s="2"/>
    </row>
    <row r="511" spans="4:4" ht="13" x14ac:dyDescent="0.15">
      <c r="D511" s="2"/>
    </row>
    <row r="512" spans="4:4" ht="13" x14ac:dyDescent="0.15">
      <c r="D512" s="2"/>
    </row>
    <row r="513" spans="4:4" ht="13" x14ac:dyDescent="0.15">
      <c r="D513" s="2"/>
    </row>
    <row r="514" spans="4:4" ht="13" x14ac:dyDescent="0.15">
      <c r="D514" s="2"/>
    </row>
    <row r="515" spans="4:4" ht="13" x14ac:dyDescent="0.15">
      <c r="D515" s="2"/>
    </row>
    <row r="516" spans="4:4" ht="13" x14ac:dyDescent="0.15">
      <c r="D516" s="2"/>
    </row>
    <row r="517" spans="4:4" ht="13" x14ac:dyDescent="0.15">
      <c r="D517" s="2"/>
    </row>
    <row r="518" spans="4:4" ht="13" x14ac:dyDescent="0.15">
      <c r="D518" s="2"/>
    </row>
    <row r="519" spans="4:4" ht="13" x14ac:dyDescent="0.15">
      <c r="D519" s="2"/>
    </row>
    <row r="520" spans="4:4" ht="13" x14ac:dyDescent="0.15">
      <c r="D520" s="2"/>
    </row>
    <row r="521" spans="4:4" ht="13" x14ac:dyDescent="0.15">
      <c r="D521" s="2"/>
    </row>
    <row r="522" spans="4:4" ht="13" x14ac:dyDescent="0.15">
      <c r="D522" s="2"/>
    </row>
    <row r="523" spans="4:4" ht="13" x14ac:dyDescent="0.15">
      <c r="D523" s="2"/>
    </row>
    <row r="524" spans="4:4" ht="13" x14ac:dyDescent="0.15">
      <c r="D524" s="2"/>
    </row>
    <row r="525" spans="4:4" ht="13" x14ac:dyDescent="0.15">
      <c r="D525" s="2"/>
    </row>
    <row r="526" spans="4:4" ht="13" x14ac:dyDescent="0.15">
      <c r="D526" s="2"/>
    </row>
    <row r="527" spans="4:4" ht="13" x14ac:dyDescent="0.15">
      <c r="D527" s="2"/>
    </row>
    <row r="528" spans="4:4" ht="13" x14ac:dyDescent="0.15">
      <c r="D528" s="2"/>
    </row>
    <row r="529" spans="4:4" ht="13" x14ac:dyDescent="0.15">
      <c r="D529" s="2"/>
    </row>
    <row r="530" spans="4:4" ht="13" x14ac:dyDescent="0.15">
      <c r="D530" s="2"/>
    </row>
    <row r="531" spans="4:4" ht="13" x14ac:dyDescent="0.15">
      <c r="D531" s="2"/>
    </row>
    <row r="532" spans="4:4" ht="13" x14ac:dyDescent="0.15">
      <c r="D532" s="2"/>
    </row>
    <row r="533" spans="4:4" ht="13" x14ac:dyDescent="0.15">
      <c r="D533" s="2"/>
    </row>
    <row r="534" spans="4:4" ht="13" x14ac:dyDescent="0.15">
      <c r="D534" s="2"/>
    </row>
    <row r="535" spans="4:4" ht="13" x14ac:dyDescent="0.15">
      <c r="D535" s="2"/>
    </row>
    <row r="536" spans="4:4" ht="13" x14ac:dyDescent="0.15">
      <c r="D536" s="2"/>
    </row>
    <row r="537" spans="4:4" ht="13" x14ac:dyDescent="0.15">
      <c r="D537" s="2"/>
    </row>
    <row r="538" spans="4:4" ht="13" x14ac:dyDescent="0.15">
      <c r="D538" s="2"/>
    </row>
    <row r="539" spans="4:4" ht="13" x14ac:dyDescent="0.15">
      <c r="D539" s="2"/>
    </row>
    <row r="540" spans="4:4" ht="13" x14ac:dyDescent="0.15">
      <c r="D540" s="2"/>
    </row>
    <row r="541" spans="4:4" ht="13" x14ac:dyDescent="0.15">
      <c r="D541" s="2"/>
    </row>
    <row r="542" spans="4:4" ht="13" x14ac:dyDescent="0.15">
      <c r="D542" s="2"/>
    </row>
    <row r="543" spans="4:4" ht="13" x14ac:dyDescent="0.15">
      <c r="D543" s="2"/>
    </row>
    <row r="544" spans="4:4" ht="13" x14ac:dyDescent="0.15">
      <c r="D544" s="2"/>
    </row>
    <row r="545" spans="4:4" ht="13" x14ac:dyDescent="0.15">
      <c r="D545" s="2"/>
    </row>
    <row r="546" spans="4:4" ht="13" x14ac:dyDescent="0.15">
      <c r="D546" s="2"/>
    </row>
    <row r="547" spans="4:4" ht="13" x14ac:dyDescent="0.15">
      <c r="D547" s="2"/>
    </row>
    <row r="548" spans="4:4" ht="13" x14ac:dyDescent="0.15">
      <c r="D548" s="2"/>
    </row>
    <row r="549" spans="4:4" ht="13" x14ac:dyDescent="0.15">
      <c r="D549" s="2"/>
    </row>
    <row r="550" spans="4:4" ht="13" x14ac:dyDescent="0.15">
      <c r="D550" s="2"/>
    </row>
    <row r="551" spans="4:4" ht="13" x14ac:dyDescent="0.15">
      <c r="D551" s="2"/>
    </row>
    <row r="552" spans="4:4" ht="13" x14ac:dyDescent="0.15">
      <c r="D552" s="2"/>
    </row>
    <row r="553" spans="4:4" ht="13" x14ac:dyDescent="0.15">
      <c r="D553" s="2"/>
    </row>
    <row r="554" spans="4:4" ht="13" x14ac:dyDescent="0.15">
      <c r="D554" s="2"/>
    </row>
    <row r="555" spans="4:4" ht="13" x14ac:dyDescent="0.15">
      <c r="D555" s="2"/>
    </row>
    <row r="556" spans="4:4" ht="13" x14ac:dyDescent="0.15">
      <c r="D556" s="2"/>
    </row>
    <row r="557" spans="4:4" ht="13" x14ac:dyDescent="0.15">
      <c r="D557" s="2"/>
    </row>
    <row r="558" spans="4:4" ht="13" x14ac:dyDescent="0.15">
      <c r="D558" s="2"/>
    </row>
    <row r="559" spans="4:4" ht="13" x14ac:dyDescent="0.15">
      <c r="D559" s="2"/>
    </row>
    <row r="560" spans="4:4" ht="13" x14ac:dyDescent="0.15">
      <c r="D560" s="2"/>
    </row>
    <row r="561" spans="4:4" ht="13" x14ac:dyDescent="0.15">
      <c r="D561" s="2"/>
    </row>
    <row r="562" spans="4:4" ht="13" x14ac:dyDescent="0.15">
      <c r="D562" s="2"/>
    </row>
    <row r="563" spans="4:4" ht="13" x14ac:dyDescent="0.15">
      <c r="D563" s="2"/>
    </row>
    <row r="564" spans="4:4" ht="13" x14ac:dyDescent="0.15">
      <c r="D564" s="2"/>
    </row>
    <row r="565" spans="4:4" ht="13" x14ac:dyDescent="0.15">
      <c r="D565" s="2"/>
    </row>
    <row r="566" spans="4:4" ht="13" x14ac:dyDescent="0.15">
      <c r="D566" s="2"/>
    </row>
    <row r="567" spans="4:4" ht="13" x14ac:dyDescent="0.15">
      <c r="D567" s="2"/>
    </row>
    <row r="568" spans="4:4" ht="13" x14ac:dyDescent="0.15">
      <c r="D568" s="2"/>
    </row>
    <row r="569" spans="4:4" ht="13" x14ac:dyDescent="0.15">
      <c r="D569" s="2"/>
    </row>
    <row r="570" spans="4:4" ht="13" x14ac:dyDescent="0.15">
      <c r="D570" s="2"/>
    </row>
    <row r="571" spans="4:4" ht="13" x14ac:dyDescent="0.15">
      <c r="D571" s="2"/>
    </row>
    <row r="572" spans="4:4" ht="13" x14ac:dyDescent="0.15">
      <c r="D572" s="2"/>
    </row>
    <row r="573" spans="4:4" ht="13" x14ac:dyDescent="0.15">
      <c r="D573" s="2"/>
    </row>
    <row r="574" spans="4:4" ht="13" x14ac:dyDescent="0.15">
      <c r="D574" s="2"/>
    </row>
    <row r="575" spans="4:4" ht="13" x14ac:dyDescent="0.15">
      <c r="D575" s="2"/>
    </row>
    <row r="576" spans="4:4" ht="13" x14ac:dyDescent="0.15">
      <c r="D576" s="2"/>
    </row>
    <row r="577" spans="4:4" ht="13" x14ac:dyDescent="0.15">
      <c r="D577" s="2"/>
    </row>
    <row r="578" spans="4:4" ht="13" x14ac:dyDescent="0.15">
      <c r="D578" s="2"/>
    </row>
    <row r="579" spans="4:4" ht="13" x14ac:dyDescent="0.15">
      <c r="D579" s="2"/>
    </row>
    <row r="580" spans="4:4" ht="13" x14ac:dyDescent="0.15">
      <c r="D580" s="2"/>
    </row>
    <row r="581" spans="4:4" ht="13" x14ac:dyDescent="0.15">
      <c r="D581" s="2"/>
    </row>
    <row r="582" spans="4:4" ht="13" x14ac:dyDescent="0.15">
      <c r="D582" s="2"/>
    </row>
    <row r="583" spans="4:4" ht="13" x14ac:dyDescent="0.15">
      <c r="D583" s="2"/>
    </row>
    <row r="584" spans="4:4" ht="13" x14ac:dyDescent="0.15">
      <c r="D584" s="2"/>
    </row>
    <row r="585" spans="4:4" ht="13" x14ac:dyDescent="0.15">
      <c r="D585" s="2"/>
    </row>
    <row r="586" spans="4:4" ht="13" x14ac:dyDescent="0.15">
      <c r="D586" s="2"/>
    </row>
    <row r="587" spans="4:4" ht="13" x14ac:dyDescent="0.15">
      <c r="D587" s="2"/>
    </row>
    <row r="588" spans="4:4" ht="13" x14ac:dyDescent="0.15">
      <c r="D588" s="2"/>
    </row>
    <row r="589" spans="4:4" ht="13" x14ac:dyDescent="0.15">
      <c r="D589" s="2"/>
    </row>
    <row r="590" spans="4:4" ht="13" x14ac:dyDescent="0.15">
      <c r="D590" s="2"/>
    </row>
    <row r="591" spans="4:4" ht="13" x14ac:dyDescent="0.15">
      <c r="D591" s="2"/>
    </row>
    <row r="592" spans="4:4" ht="13" x14ac:dyDescent="0.15">
      <c r="D592" s="2"/>
    </row>
    <row r="593" spans="4:4" ht="13" x14ac:dyDescent="0.15">
      <c r="D593" s="2"/>
    </row>
    <row r="594" spans="4:4" ht="13" x14ac:dyDescent="0.15">
      <c r="D594" s="2"/>
    </row>
    <row r="595" spans="4:4" ht="13" x14ac:dyDescent="0.15">
      <c r="D595" s="2"/>
    </row>
    <row r="596" spans="4:4" ht="13" x14ac:dyDescent="0.15">
      <c r="D596" s="2"/>
    </row>
    <row r="597" spans="4:4" ht="13" x14ac:dyDescent="0.15">
      <c r="D597" s="2"/>
    </row>
    <row r="598" spans="4:4" ht="13" x14ac:dyDescent="0.15">
      <c r="D598" s="2"/>
    </row>
    <row r="599" spans="4:4" ht="13" x14ac:dyDescent="0.15">
      <c r="D599" s="2"/>
    </row>
    <row r="600" spans="4:4" ht="13" x14ac:dyDescent="0.15">
      <c r="D600" s="2"/>
    </row>
    <row r="601" spans="4:4" ht="13" x14ac:dyDescent="0.15">
      <c r="D601" s="2"/>
    </row>
    <row r="602" spans="4:4" ht="13" x14ac:dyDescent="0.15">
      <c r="D602" s="2"/>
    </row>
    <row r="603" spans="4:4" ht="13" x14ac:dyDescent="0.15">
      <c r="D603" s="2"/>
    </row>
    <row r="604" spans="4:4" ht="13" x14ac:dyDescent="0.15">
      <c r="D604" s="2"/>
    </row>
    <row r="605" spans="4:4" ht="13" x14ac:dyDescent="0.15">
      <c r="D605" s="2"/>
    </row>
    <row r="606" spans="4:4" ht="13" x14ac:dyDescent="0.15">
      <c r="D606" s="2"/>
    </row>
    <row r="607" spans="4:4" ht="13" x14ac:dyDescent="0.15">
      <c r="D607" s="2"/>
    </row>
    <row r="608" spans="4:4" ht="13" x14ac:dyDescent="0.15">
      <c r="D608" s="2"/>
    </row>
    <row r="609" spans="4:4" ht="13" x14ac:dyDescent="0.15">
      <c r="D609" s="2"/>
    </row>
    <row r="610" spans="4:4" ht="13" x14ac:dyDescent="0.15">
      <c r="D610" s="2"/>
    </row>
    <row r="611" spans="4:4" ht="13" x14ac:dyDescent="0.15">
      <c r="D611" s="2"/>
    </row>
    <row r="612" spans="4:4" ht="13" x14ac:dyDescent="0.15">
      <c r="D612" s="2"/>
    </row>
    <row r="613" spans="4:4" ht="13" x14ac:dyDescent="0.15">
      <c r="D613" s="2"/>
    </row>
    <row r="614" spans="4:4" ht="13" x14ac:dyDescent="0.15">
      <c r="D614" s="2"/>
    </row>
    <row r="615" spans="4:4" ht="13" x14ac:dyDescent="0.15">
      <c r="D615" s="2"/>
    </row>
    <row r="616" spans="4:4" ht="13" x14ac:dyDescent="0.15">
      <c r="D616" s="2"/>
    </row>
    <row r="617" spans="4:4" ht="13" x14ac:dyDescent="0.15">
      <c r="D617" s="2"/>
    </row>
    <row r="618" spans="4:4" ht="13" x14ac:dyDescent="0.15">
      <c r="D618" s="2"/>
    </row>
    <row r="619" spans="4:4" ht="13" x14ac:dyDescent="0.15">
      <c r="D619" s="2"/>
    </row>
    <row r="620" spans="4:4" ht="13" x14ac:dyDescent="0.15">
      <c r="D620" s="2"/>
    </row>
    <row r="621" spans="4:4" ht="13" x14ac:dyDescent="0.15">
      <c r="D621" s="2"/>
    </row>
    <row r="622" spans="4:4" ht="13" x14ac:dyDescent="0.15">
      <c r="D622" s="2"/>
    </row>
    <row r="623" spans="4:4" ht="13" x14ac:dyDescent="0.15">
      <c r="D623" s="2"/>
    </row>
    <row r="624" spans="4:4" ht="13" x14ac:dyDescent="0.15">
      <c r="D624" s="2"/>
    </row>
    <row r="625" spans="4:4" ht="13" x14ac:dyDescent="0.15">
      <c r="D625" s="2"/>
    </row>
    <row r="626" spans="4:4" ht="13" x14ac:dyDescent="0.15">
      <c r="D626" s="2"/>
    </row>
    <row r="627" spans="4:4" ht="13" x14ac:dyDescent="0.15">
      <c r="D627" s="2"/>
    </row>
    <row r="628" spans="4:4" ht="13" x14ac:dyDescent="0.15">
      <c r="D628" s="2"/>
    </row>
    <row r="629" spans="4:4" ht="13" x14ac:dyDescent="0.15">
      <c r="D629" s="2"/>
    </row>
    <row r="630" spans="4:4" ht="13" x14ac:dyDescent="0.15">
      <c r="D630" s="2"/>
    </row>
    <row r="631" spans="4:4" ht="13" x14ac:dyDescent="0.15">
      <c r="D631" s="2"/>
    </row>
    <row r="632" spans="4:4" ht="13" x14ac:dyDescent="0.15">
      <c r="D632" s="2"/>
    </row>
    <row r="633" spans="4:4" ht="13" x14ac:dyDescent="0.15">
      <c r="D633" s="2"/>
    </row>
    <row r="634" spans="4:4" ht="13" x14ac:dyDescent="0.15">
      <c r="D634" s="2"/>
    </row>
    <row r="635" spans="4:4" ht="13" x14ac:dyDescent="0.15">
      <c r="D635" s="2"/>
    </row>
    <row r="636" spans="4:4" ht="13" x14ac:dyDescent="0.15">
      <c r="D636" s="2"/>
    </row>
    <row r="637" spans="4:4" ht="13" x14ac:dyDescent="0.15">
      <c r="D637" s="2"/>
    </row>
    <row r="638" spans="4:4" ht="13" x14ac:dyDescent="0.15">
      <c r="D638" s="2"/>
    </row>
    <row r="639" spans="4:4" ht="13" x14ac:dyDescent="0.15">
      <c r="D639" s="2"/>
    </row>
    <row r="640" spans="4:4" ht="13" x14ac:dyDescent="0.15">
      <c r="D640" s="2"/>
    </row>
    <row r="641" spans="4:4" ht="13" x14ac:dyDescent="0.15">
      <c r="D641" s="2"/>
    </row>
    <row r="642" spans="4:4" ht="13" x14ac:dyDescent="0.15">
      <c r="D642" s="2"/>
    </row>
    <row r="643" spans="4:4" ht="13" x14ac:dyDescent="0.15">
      <c r="D643" s="2"/>
    </row>
    <row r="644" spans="4:4" ht="13" x14ac:dyDescent="0.15">
      <c r="D644" s="2"/>
    </row>
    <row r="645" spans="4:4" ht="13" x14ac:dyDescent="0.15">
      <c r="D645" s="2"/>
    </row>
    <row r="646" spans="4:4" ht="13" x14ac:dyDescent="0.15">
      <c r="D646" s="2"/>
    </row>
    <row r="647" spans="4:4" ht="13" x14ac:dyDescent="0.15">
      <c r="D647" s="2"/>
    </row>
    <row r="648" spans="4:4" ht="13" x14ac:dyDescent="0.15">
      <c r="D648" s="2"/>
    </row>
    <row r="649" spans="4:4" ht="13" x14ac:dyDescent="0.15">
      <c r="D649" s="2"/>
    </row>
    <row r="650" spans="4:4" ht="13" x14ac:dyDescent="0.15">
      <c r="D650" s="2"/>
    </row>
    <row r="651" spans="4:4" ht="13" x14ac:dyDescent="0.15">
      <c r="D651" s="2"/>
    </row>
    <row r="652" spans="4:4" ht="13" x14ac:dyDescent="0.15">
      <c r="D652" s="2"/>
    </row>
    <row r="653" spans="4:4" ht="13" x14ac:dyDescent="0.15">
      <c r="D653" s="2"/>
    </row>
    <row r="654" spans="4:4" ht="13" x14ac:dyDescent="0.15">
      <c r="D654" s="2"/>
    </row>
    <row r="655" spans="4:4" ht="13" x14ac:dyDescent="0.15">
      <c r="D655" s="2"/>
    </row>
    <row r="656" spans="4:4" ht="13" x14ac:dyDescent="0.15">
      <c r="D656" s="2"/>
    </row>
    <row r="657" spans="4:4" ht="13" x14ac:dyDescent="0.15">
      <c r="D657" s="2"/>
    </row>
    <row r="658" spans="4:4" ht="13" x14ac:dyDescent="0.15">
      <c r="D658" s="2"/>
    </row>
    <row r="659" spans="4:4" ht="13" x14ac:dyDescent="0.15">
      <c r="D659" s="2"/>
    </row>
    <row r="660" spans="4:4" ht="13" x14ac:dyDescent="0.15">
      <c r="D660" s="2"/>
    </row>
    <row r="661" spans="4:4" ht="13" x14ac:dyDescent="0.15">
      <c r="D661" s="2"/>
    </row>
    <row r="662" spans="4:4" ht="13" x14ac:dyDescent="0.15">
      <c r="D662" s="2"/>
    </row>
    <row r="663" spans="4:4" ht="13" x14ac:dyDescent="0.15">
      <c r="D663" s="2"/>
    </row>
    <row r="664" spans="4:4" ht="13" x14ac:dyDescent="0.15">
      <c r="D664" s="2"/>
    </row>
    <row r="665" spans="4:4" ht="13" x14ac:dyDescent="0.15">
      <c r="D665" s="2"/>
    </row>
    <row r="666" spans="4:4" ht="13" x14ac:dyDescent="0.15">
      <c r="D666" s="2"/>
    </row>
    <row r="667" spans="4:4" ht="13" x14ac:dyDescent="0.15">
      <c r="D667" s="2"/>
    </row>
    <row r="668" spans="4:4" ht="13" x14ac:dyDescent="0.15">
      <c r="D668" s="2"/>
    </row>
    <row r="669" spans="4:4" ht="13" x14ac:dyDescent="0.15">
      <c r="D669" s="2"/>
    </row>
    <row r="670" spans="4:4" ht="13" x14ac:dyDescent="0.15">
      <c r="D670" s="2"/>
    </row>
    <row r="671" spans="4:4" ht="13" x14ac:dyDescent="0.15">
      <c r="D671" s="2"/>
    </row>
    <row r="672" spans="4:4" ht="13" x14ac:dyDescent="0.15">
      <c r="D672" s="2"/>
    </row>
    <row r="673" spans="4:4" ht="13" x14ac:dyDescent="0.15">
      <c r="D673" s="2"/>
    </row>
    <row r="674" spans="4:4" ht="13" x14ac:dyDescent="0.15">
      <c r="D674" s="2"/>
    </row>
    <row r="675" spans="4:4" ht="13" x14ac:dyDescent="0.15">
      <c r="D675" s="2"/>
    </row>
    <row r="676" spans="4:4" ht="13" x14ac:dyDescent="0.15">
      <c r="D676" s="2"/>
    </row>
    <row r="677" spans="4:4" ht="13" x14ac:dyDescent="0.15">
      <c r="D677" s="2"/>
    </row>
    <row r="678" spans="4:4" ht="13" x14ac:dyDescent="0.15">
      <c r="D678" s="2"/>
    </row>
    <row r="679" spans="4:4" ht="13" x14ac:dyDescent="0.15">
      <c r="D679" s="2"/>
    </row>
    <row r="680" spans="4:4" ht="13" x14ac:dyDescent="0.15">
      <c r="D680" s="2"/>
    </row>
    <row r="681" spans="4:4" ht="13" x14ac:dyDescent="0.15">
      <c r="D681" s="2"/>
    </row>
    <row r="682" spans="4:4" ht="13" x14ac:dyDescent="0.15">
      <c r="D682" s="2"/>
    </row>
    <row r="683" spans="4:4" ht="13" x14ac:dyDescent="0.15">
      <c r="D683" s="2"/>
    </row>
    <row r="684" spans="4:4" ht="13" x14ac:dyDescent="0.15">
      <c r="D684" s="2"/>
    </row>
    <row r="685" spans="4:4" ht="13" x14ac:dyDescent="0.15">
      <c r="D685" s="2"/>
    </row>
    <row r="686" spans="4:4" ht="13" x14ac:dyDescent="0.15">
      <c r="D686" s="2"/>
    </row>
    <row r="687" spans="4:4" ht="13" x14ac:dyDescent="0.15">
      <c r="D687" s="2"/>
    </row>
    <row r="688" spans="4:4" ht="13" x14ac:dyDescent="0.15">
      <c r="D688" s="2"/>
    </row>
    <row r="689" spans="4:4" ht="13" x14ac:dyDescent="0.15">
      <c r="D689" s="2"/>
    </row>
    <row r="690" spans="4:4" ht="13" x14ac:dyDescent="0.15">
      <c r="D690" s="2"/>
    </row>
    <row r="691" spans="4:4" ht="13" x14ac:dyDescent="0.15">
      <c r="D691" s="2"/>
    </row>
    <row r="692" spans="4:4" ht="13" x14ac:dyDescent="0.15">
      <c r="D692" s="2"/>
    </row>
    <row r="693" spans="4:4" ht="13" x14ac:dyDescent="0.15">
      <c r="D693" s="2"/>
    </row>
    <row r="694" spans="4:4" ht="13" x14ac:dyDescent="0.15">
      <c r="D694" s="2"/>
    </row>
    <row r="695" spans="4:4" ht="13" x14ac:dyDescent="0.15">
      <c r="D695" s="2"/>
    </row>
    <row r="696" spans="4:4" ht="13" x14ac:dyDescent="0.15">
      <c r="D696" s="2"/>
    </row>
    <row r="697" spans="4:4" ht="13" x14ac:dyDescent="0.15">
      <c r="D697" s="2"/>
    </row>
    <row r="698" spans="4:4" ht="13" x14ac:dyDescent="0.15">
      <c r="D698" s="2"/>
    </row>
    <row r="699" spans="4:4" ht="13" x14ac:dyDescent="0.15">
      <c r="D699" s="2"/>
    </row>
    <row r="700" spans="4:4" ht="13" x14ac:dyDescent="0.15">
      <c r="D700" s="2"/>
    </row>
    <row r="701" spans="4:4" ht="13" x14ac:dyDescent="0.15">
      <c r="D701" s="2"/>
    </row>
    <row r="702" spans="4:4" ht="13" x14ac:dyDescent="0.15">
      <c r="D702" s="2"/>
    </row>
    <row r="703" spans="4:4" ht="13" x14ac:dyDescent="0.15">
      <c r="D703" s="2"/>
    </row>
    <row r="704" spans="4:4" ht="13" x14ac:dyDescent="0.15">
      <c r="D704" s="2"/>
    </row>
    <row r="705" spans="4:4" ht="13" x14ac:dyDescent="0.15">
      <c r="D705" s="2"/>
    </row>
    <row r="706" spans="4:4" ht="13" x14ac:dyDescent="0.15">
      <c r="D706" s="2"/>
    </row>
    <row r="707" spans="4:4" ht="13" x14ac:dyDescent="0.15">
      <c r="D707" s="2"/>
    </row>
    <row r="708" spans="4:4" ht="13" x14ac:dyDescent="0.15">
      <c r="D708" s="2"/>
    </row>
    <row r="709" spans="4:4" ht="13" x14ac:dyDescent="0.15">
      <c r="D709" s="2"/>
    </row>
    <row r="710" spans="4:4" ht="13" x14ac:dyDescent="0.15">
      <c r="D710" s="2"/>
    </row>
    <row r="711" spans="4:4" ht="13" x14ac:dyDescent="0.15">
      <c r="D711" s="2"/>
    </row>
    <row r="712" spans="4:4" ht="13" x14ac:dyDescent="0.15">
      <c r="D712" s="2"/>
    </row>
    <row r="713" spans="4:4" ht="13" x14ac:dyDescent="0.15">
      <c r="D713" s="2"/>
    </row>
    <row r="714" spans="4:4" ht="13" x14ac:dyDescent="0.15">
      <c r="D714" s="2"/>
    </row>
    <row r="715" spans="4:4" ht="13" x14ac:dyDescent="0.15">
      <c r="D715" s="2"/>
    </row>
    <row r="716" spans="4:4" ht="13" x14ac:dyDescent="0.15">
      <c r="D716" s="2"/>
    </row>
    <row r="717" spans="4:4" ht="13" x14ac:dyDescent="0.15">
      <c r="D717" s="2"/>
    </row>
    <row r="718" spans="4:4" ht="13" x14ac:dyDescent="0.15">
      <c r="D718" s="2"/>
    </row>
    <row r="719" spans="4:4" ht="13" x14ac:dyDescent="0.15">
      <c r="D719" s="2"/>
    </row>
    <row r="720" spans="4:4" ht="13" x14ac:dyDescent="0.15">
      <c r="D720" s="2"/>
    </row>
    <row r="721" spans="4:4" ht="13" x14ac:dyDescent="0.15">
      <c r="D721" s="2"/>
    </row>
    <row r="722" spans="4:4" ht="13" x14ac:dyDescent="0.15">
      <c r="D722" s="2"/>
    </row>
    <row r="723" spans="4:4" ht="13" x14ac:dyDescent="0.15">
      <c r="D723" s="2"/>
    </row>
    <row r="724" spans="4:4" ht="13" x14ac:dyDescent="0.15">
      <c r="D724" s="2"/>
    </row>
    <row r="725" spans="4:4" ht="13" x14ac:dyDescent="0.15">
      <c r="D725" s="2"/>
    </row>
    <row r="726" spans="4:4" ht="13" x14ac:dyDescent="0.15">
      <c r="D726" s="2"/>
    </row>
    <row r="727" spans="4:4" ht="13" x14ac:dyDescent="0.15">
      <c r="D727" s="2"/>
    </row>
    <row r="728" spans="4:4" ht="13" x14ac:dyDescent="0.15">
      <c r="D728" s="2"/>
    </row>
    <row r="729" spans="4:4" ht="13" x14ac:dyDescent="0.15">
      <c r="D729" s="2"/>
    </row>
    <row r="730" spans="4:4" ht="13" x14ac:dyDescent="0.15">
      <c r="D730" s="2"/>
    </row>
    <row r="731" spans="4:4" ht="13" x14ac:dyDescent="0.15">
      <c r="D731" s="2"/>
    </row>
    <row r="732" spans="4:4" ht="13" x14ac:dyDescent="0.15">
      <c r="D732" s="2"/>
    </row>
    <row r="733" spans="4:4" ht="13" x14ac:dyDescent="0.15">
      <c r="D733" s="2"/>
    </row>
    <row r="734" spans="4:4" ht="13" x14ac:dyDescent="0.15">
      <c r="D734" s="2"/>
    </row>
    <row r="735" spans="4:4" ht="13" x14ac:dyDescent="0.15">
      <c r="D735" s="2"/>
    </row>
    <row r="736" spans="4:4" ht="13" x14ac:dyDescent="0.15">
      <c r="D736" s="2"/>
    </row>
    <row r="737" spans="4:4" ht="13" x14ac:dyDescent="0.15">
      <c r="D737" s="2"/>
    </row>
    <row r="738" spans="4:4" ht="13" x14ac:dyDescent="0.15">
      <c r="D738" s="2"/>
    </row>
    <row r="739" spans="4:4" ht="13" x14ac:dyDescent="0.15">
      <c r="D739" s="2"/>
    </row>
    <row r="740" spans="4:4" ht="13" x14ac:dyDescent="0.15">
      <c r="D740" s="2"/>
    </row>
    <row r="741" spans="4:4" ht="13" x14ac:dyDescent="0.15">
      <c r="D741" s="2"/>
    </row>
    <row r="742" spans="4:4" ht="13" x14ac:dyDescent="0.15">
      <c r="D742" s="2"/>
    </row>
    <row r="743" spans="4:4" ht="13" x14ac:dyDescent="0.15">
      <c r="D743" s="2"/>
    </row>
    <row r="744" spans="4:4" ht="13" x14ac:dyDescent="0.15">
      <c r="D744" s="2"/>
    </row>
    <row r="745" spans="4:4" ht="13" x14ac:dyDescent="0.15">
      <c r="D745" s="2"/>
    </row>
    <row r="746" spans="4:4" ht="13" x14ac:dyDescent="0.15">
      <c r="D746" s="2"/>
    </row>
    <row r="747" spans="4:4" ht="13" x14ac:dyDescent="0.15">
      <c r="D747" s="2"/>
    </row>
    <row r="748" spans="4:4" ht="13" x14ac:dyDescent="0.15">
      <c r="D748" s="2"/>
    </row>
    <row r="749" spans="4:4" ht="13" x14ac:dyDescent="0.15">
      <c r="D749" s="2"/>
    </row>
    <row r="750" spans="4:4" ht="13" x14ac:dyDescent="0.15">
      <c r="D750" s="2"/>
    </row>
    <row r="751" spans="4:4" ht="13" x14ac:dyDescent="0.15">
      <c r="D751" s="2"/>
    </row>
    <row r="752" spans="4:4" ht="13" x14ac:dyDescent="0.15">
      <c r="D752" s="2"/>
    </row>
    <row r="753" spans="4:4" ht="13" x14ac:dyDescent="0.15">
      <c r="D753" s="2"/>
    </row>
    <row r="754" spans="4:4" ht="13" x14ac:dyDescent="0.15">
      <c r="D754" s="2"/>
    </row>
    <row r="755" spans="4:4" ht="13" x14ac:dyDescent="0.15">
      <c r="D755" s="2"/>
    </row>
    <row r="756" spans="4:4" ht="13" x14ac:dyDescent="0.15">
      <c r="D756" s="2"/>
    </row>
    <row r="757" spans="4:4" ht="13" x14ac:dyDescent="0.15">
      <c r="D757" s="2"/>
    </row>
    <row r="758" spans="4:4" ht="13" x14ac:dyDescent="0.15">
      <c r="D758" s="2"/>
    </row>
    <row r="759" spans="4:4" ht="13" x14ac:dyDescent="0.15">
      <c r="D759" s="2"/>
    </row>
    <row r="760" spans="4:4" ht="13" x14ac:dyDescent="0.15">
      <c r="D760" s="2"/>
    </row>
    <row r="761" spans="4:4" ht="13" x14ac:dyDescent="0.15">
      <c r="D761" s="2"/>
    </row>
    <row r="762" spans="4:4" ht="13" x14ac:dyDescent="0.15">
      <c r="D762" s="2"/>
    </row>
    <row r="763" spans="4:4" ht="13" x14ac:dyDescent="0.15">
      <c r="D763" s="2"/>
    </row>
    <row r="764" spans="4:4" ht="13" x14ac:dyDescent="0.15">
      <c r="D764" s="2"/>
    </row>
    <row r="765" spans="4:4" ht="13" x14ac:dyDescent="0.15">
      <c r="D765" s="2"/>
    </row>
    <row r="766" spans="4:4" ht="13" x14ac:dyDescent="0.15">
      <c r="D766" s="2"/>
    </row>
    <row r="767" spans="4:4" ht="13" x14ac:dyDescent="0.15">
      <c r="D767" s="2"/>
    </row>
    <row r="768" spans="4:4" ht="13" x14ac:dyDescent="0.15">
      <c r="D768" s="2"/>
    </row>
    <row r="769" spans="4:4" ht="13" x14ac:dyDescent="0.15">
      <c r="D769" s="2"/>
    </row>
    <row r="770" spans="4:4" ht="13" x14ac:dyDescent="0.15">
      <c r="D770" s="2"/>
    </row>
    <row r="771" spans="4:4" ht="13" x14ac:dyDescent="0.15">
      <c r="D771" s="2"/>
    </row>
    <row r="772" spans="4:4" ht="13" x14ac:dyDescent="0.15">
      <c r="D772" s="2"/>
    </row>
    <row r="773" spans="4:4" ht="13" x14ac:dyDescent="0.15">
      <c r="D773" s="2"/>
    </row>
    <row r="774" spans="4:4" ht="13" x14ac:dyDescent="0.15">
      <c r="D774" s="2"/>
    </row>
    <row r="775" spans="4:4" ht="13" x14ac:dyDescent="0.15">
      <c r="D775" s="2"/>
    </row>
    <row r="776" spans="4:4" ht="13" x14ac:dyDescent="0.15">
      <c r="D776" s="2"/>
    </row>
    <row r="777" spans="4:4" ht="13" x14ac:dyDescent="0.15">
      <c r="D777" s="2"/>
    </row>
    <row r="778" spans="4:4" ht="13" x14ac:dyDescent="0.15">
      <c r="D778" s="2"/>
    </row>
    <row r="779" spans="4:4" ht="13" x14ac:dyDescent="0.15">
      <c r="D779" s="2"/>
    </row>
    <row r="780" spans="4:4" ht="13" x14ac:dyDescent="0.15">
      <c r="D780" s="2"/>
    </row>
    <row r="781" spans="4:4" ht="13" x14ac:dyDescent="0.15">
      <c r="D781" s="2"/>
    </row>
    <row r="782" spans="4:4" ht="13" x14ac:dyDescent="0.15">
      <c r="D782" s="2"/>
    </row>
    <row r="783" spans="4:4" ht="13" x14ac:dyDescent="0.15">
      <c r="D783" s="2"/>
    </row>
    <row r="784" spans="4:4" ht="13" x14ac:dyDescent="0.15">
      <c r="D784" s="2"/>
    </row>
    <row r="785" spans="4:4" ht="13" x14ac:dyDescent="0.15">
      <c r="D785" s="2"/>
    </row>
    <row r="786" spans="4:4" ht="13" x14ac:dyDescent="0.15">
      <c r="D786" s="2"/>
    </row>
    <row r="787" spans="4:4" ht="13" x14ac:dyDescent="0.15">
      <c r="D787" s="2"/>
    </row>
    <row r="788" spans="4:4" ht="13" x14ac:dyDescent="0.15">
      <c r="D788" s="2"/>
    </row>
    <row r="789" spans="4:4" ht="13" x14ac:dyDescent="0.15">
      <c r="D789" s="2"/>
    </row>
    <row r="790" spans="4:4" ht="13" x14ac:dyDescent="0.15">
      <c r="D790" s="2"/>
    </row>
    <row r="791" spans="4:4" ht="13" x14ac:dyDescent="0.15">
      <c r="D791" s="2"/>
    </row>
    <row r="792" spans="4:4" ht="13" x14ac:dyDescent="0.15">
      <c r="D792" s="2"/>
    </row>
    <row r="793" spans="4:4" ht="13" x14ac:dyDescent="0.15">
      <c r="D793" s="2"/>
    </row>
    <row r="794" spans="4:4" ht="13" x14ac:dyDescent="0.15">
      <c r="D794" s="2"/>
    </row>
    <row r="795" spans="4:4" ht="13" x14ac:dyDescent="0.15">
      <c r="D795" s="2"/>
    </row>
    <row r="796" spans="4:4" ht="13" x14ac:dyDescent="0.15">
      <c r="D796" s="2"/>
    </row>
    <row r="797" spans="4:4" ht="13" x14ac:dyDescent="0.15">
      <c r="D797" s="2"/>
    </row>
    <row r="798" spans="4:4" ht="13" x14ac:dyDescent="0.15">
      <c r="D798" s="2"/>
    </row>
    <row r="799" spans="4:4" ht="13" x14ac:dyDescent="0.15">
      <c r="D799" s="2"/>
    </row>
    <row r="800" spans="4:4" ht="13" x14ac:dyDescent="0.15">
      <c r="D800" s="2"/>
    </row>
    <row r="801" spans="4:4" ht="13" x14ac:dyDescent="0.15">
      <c r="D801" s="2"/>
    </row>
    <row r="802" spans="4:4" ht="13" x14ac:dyDescent="0.15">
      <c r="D802" s="2"/>
    </row>
    <row r="803" spans="4:4" ht="13" x14ac:dyDescent="0.15">
      <c r="D803" s="2"/>
    </row>
    <row r="804" spans="4:4" ht="13" x14ac:dyDescent="0.15">
      <c r="D804" s="2"/>
    </row>
    <row r="805" spans="4:4" ht="13" x14ac:dyDescent="0.15">
      <c r="D805" s="2"/>
    </row>
    <row r="806" spans="4:4" ht="13" x14ac:dyDescent="0.15">
      <c r="D806" s="2"/>
    </row>
    <row r="807" spans="4:4" ht="13" x14ac:dyDescent="0.15">
      <c r="D807" s="2"/>
    </row>
    <row r="808" spans="4:4" ht="13" x14ac:dyDescent="0.15">
      <c r="D808" s="2"/>
    </row>
    <row r="809" spans="4:4" ht="13" x14ac:dyDescent="0.15">
      <c r="D809" s="2"/>
    </row>
    <row r="810" spans="4:4" ht="13" x14ac:dyDescent="0.15">
      <c r="D810" s="2"/>
    </row>
    <row r="811" spans="4:4" ht="13" x14ac:dyDescent="0.15">
      <c r="D811" s="2"/>
    </row>
    <row r="812" spans="4:4" ht="13" x14ac:dyDescent="0.15">
      <c r="D812" s="2"/>
    </row>
    <row r="813" spans="4:4" ht="13" x14ac:dyDescent="0.15">
      <c r="D813" s="2"/>
    </row>
    <row r="814" spans="4:4" ht="13" x14ac:dyDescent="0.15">
      <c r="D814" s="2"/>
    </row>
    <row r="815" spans="4:4" ht="13" x14ac:dyDescent="0.15">
      <c r="D815" s="2"/>
    </row>
    <row r="816" spans="4:4" ht="13" x14ac:dyDescent="0.15">
      <c r="D816" s="2"/>
    </row>
    <row r="817" spans="4:4" ht="13" x14ac:dyDescent="0.15">
      <c r="D817" s="2"/>
    </row>
    <row r="818" spans="4:4" ht="13" x14ac:dyDescent="0.15">
      <c r="D818" s="2"/>
    </row>
    <row r="819" spans="4:4" ht="13" x14ac:dyDescent="0.15">
      <c r="D819" s="2"/>
    </row>
    <row r="820" spans="4:4" ht="13" x14ac:dyDescent="0.15">
      <c r="D820" s="2"/>
    </row>
    <row r="821" spans="4:4" ht="13" x14ac:dyDescent="0.15">
      <c r="D821" s="2"/>
    </row>
    <row r="822" spans="4:4" ht="13" x14ac:dyDescent="0.15">
      <c r="D822" s="2"/>
    </row>
    <row r="823" spans="4:4" ht="13" x14ac:dyDescent="0.15">
      <c r="D823" s="2"/>
    </row>
    <row r="824" spans="4:4" ht="13" x14ac:dyDescent="0.15">
      <c r="D824" s="2"/>
    </row>
    <row r="825" spans="4:4" ht="13" x14ac:dyDescent="0.15">
      <c r="D825" s="2"/>
    </row>
    <row r="826" spans="4:4" ht="13" x14ac:dyDescent="0.15">
      <c r="D826" s="2"/>
    </row>
    <row r="827" spans="4:4" ht="13" x14ac:dyDescent="0.15">
      <c r="D827" s="2"/>
    </row>
    <row r="828" spans="4:4" ht="13" x14ac:dyDescent="0.15">
      <c r="D828" s="2"/>
    </row>
    <row r="829" spans="4:4" ht="13" x14ac:dyDescent="0.15">
      <c r="D829" s="2"/>
    </row>
    <row r="830" spans="4:4" ht="13" x14ac:dyDescent="0.15">
      <c r="D830" s="2"/>
    </row>
    <row r="831" spans="4:4" ht="13" x14ac:dyDescent="0.15">
      <c r="D831" s="2"/>
    </row>
    <row r="832" spans="4:4" ht="13" x14ac:dyDescent="0.15">
      <c r="D832" s="2"/>
    </row>
    <row r="833" spans="4:4" ht="13" x14ac:dyDescent="0.15">
      <c r="D833" s="2"/>
    </row>
    <row r="834" spans="4:4" ht="13" x14ac:dyDescent="0.15">
      <c r="D834" s="2"/>
    </row>
    <row r="835" spans="4:4" ht="13" x14ac:dyDescent="0.15">
      <c r="D835" s="2"/>
    </row>
    <row r="836" spans="4:4" ht="13" x14ac:dyDescent="0.15">
      <c r="D836" s="2"/>
    </row>
    <row r="837" spans="4:4" ht="13" x14ac:dyDescent="0.15">
      <c r="D837" s="2"/>
    </row>
    <row r="838" spans="4:4" ht="13" x14ac:dyDescent="0.15">
      <c r="D838" s="2"/>
    </row>
    <row r="839" spans="4:4" ht="13" x14ac:dyDescent="0.15">
      <c r="D839" s="2"/>
    </row>
    <row r="840" spans="4:4" ht="13" x14ac:dyDescent="0.15">
      <c r="D840" s="2"/>
    </row>
    <row r="841" spans="4:4" ht="13" x14ac:dyDescent="0.15">
      <c r="D841" s="2"/>
    </row>
    <row r="842" spans="4:4" ht="13" x14ac:dyDescent="0.15">
      <c r="D842" s="2"/>
    </row>
    <row r="843" spans="4:4" ht="13" x14ac:dyDescent="0.15">
      <c r="D843" s="2"/>
    </row>
    <row r="844" spans="4:4" ht="13" x14ac:dyDescent="0.15">
      <c r="D844" s="2"/>
    </row>
    <row r="845" spans="4:4" ht="13" x14ac:dyDescent="0.15">
      <c r="D845" s="2"/>
    </row>
    <row r="846" spans="4:4" ht="13" x14ac:dyDescent="0.15">
      <c r="D846" s="2"/>
    </row>
    <row r="847" spans="4:4" ht="13" x14ac:dyDescent="0.15">
      <c r="D847" s="2"/>
    </row>
    <row r="848" spans="4:4" ht="13" x14ac:dyDescent="0.15">
      <c r="D848" s="2"/>
    </row>
    <row r="849" spans="4:4" ht="13" x14ac:dyDescent="0.15">
      <c r="D849" s="2"/>
    </row>
    <row r="850" spans="4:4" ht="13" x14ac:dyDescent="0.15">
      <c r="D850" s="2"/>
    </row>
    <row r="851" spans="4:4" ht="13" x14ac:dyDescent="0.15">
      <c r="D851" s="2"/>
    </row>
    <row r="852" spans="4:4" ht="13" x14ac:dyDescent="0.15">
      <c r="D852" s="2"/>
    </row>
    <row r="853" spans="4:4" ht="13" x14ac:dyDescent="0.15">
      <c r="D853" s="2"/>
    </row>
    <row r="854" spans="4:4" ht="13" x14ac:dyDescent="0.15">
      <c r="D854" s="2"/>
    </row>
    <row r="855" spans="4:4" ht="13" x14ac:dyDescent="0.15">
      <c r="D855" s="2"/>
    </row>
    <row r="856" spans="4:4" ht="13" x14ac:dyDescent="0.15">
      <c r="D856" s="2"/>
    </row>
    <row r="857" spans="4:4" ht="13" x14ac:dyDescent="0.15">
      <c r="D857" s="2"/>
    </row>
    <row r="858" spans="4:4" ht="13" x14ac:dyDescent="0.15">
      <c r="D858" s="2"/>
    </row>
    <row r="859" spans="4:4" ht="13" x14ac:dyDescent="0.15">
      <c r="D859" s="2"/>
    </row>
    <row r="860" spans="4:4" ht="13" x14ac:dyDescent="0.15">
      <c r="D860" s="2"/>
    </row>
    <row r="861" spans="4:4" ht="13" x14ac:dyDescent="0.15">
      <c r="D861" s="2"/>
    </row>
    <row r="862" spans="4:4" ht="13" x14ac:dyDescent="0.15">
      <c r="D862" s="2"/>
    </row>
    <row r="863" spans="4:4" ht="13" x14ac:dyDescent="0.15">
      <c r="D863" s="2"/>
    </row>
    <row r="864" spans="4:4" ht="13" x14ac:dyDescent="0.15">
      <c r="D864" s="2"/>
    </row>
    <row r="865" spans="4:4" ht="13" x14ac:dyDescent="0.15">
      <c r="D865" s="2"/>
    </row>
    <row r="866" spans="4:4" ht="13" x14ac:dyDescent="0.15">
      <c r="D866" s="2"/>
    </row>
    <row r="867" spans="4:4" ht="13" x14ac:dyDescent="0.15">
      <c r="D867" s="2"/>
    </row>
    <row r="868" spans="4:4" ht="13" x14ac:dyDescent="0.15">
      <c r="D868" s="2"/>
    </row>
    <row r="869" spans="4:4" ht="13" x14ac:dyDescent="0.15">
      <c r="D869" s="2"/>
    </row>
    <row r="870" spans="4:4" ht="13" x14ac:dyDescent="0.15">
      <c r="D870" s="2"/>
    </row>
    <row r="871" spans="4:4" ht="13" x14ac:dyDescent="0.15">
      <c r="D871" s="2"/>
    </row>
    <row r="872" spans="4:4" ht="13" x14ac:dyDescent="0.15">
      <c r="D872" s="2"/>
    </row>
    <row r="873" spans="4:4" ht="13" x14ac:dyDescent="0.15">
      <c r="D873" s="2"/>
    </row>
    <row r="874" spans="4:4" ht="13" x14ac:dyDescent="0.15">
      <c r="D874" s="2"/>
    </row>
    <row r="875" spans="4:4" ht="13" x14ac:dyDescent="0.15">
      <c r="D875" s="2"/>
    </row>
    <row r="876" spans="4:4" ht="13" x14ac:dyDescent="0.15">
      <c r="D876" s="2"/>
    </row>
    <row r="877" spans="4:4" ht="13" x14ac:dyDescent="0.15">
      <c r="D877" s="2"/>
    </row>
    <row r="878" spans="4:4" ht="13" x14ac:dyDescent="0.15">
      <c r="D878" s="2"/>
    </row>
    <row r="879" spans="4:4" ht="13" x14ac:dyDescent="0.15">
      <c r="D879" s="2"/>
    </row>
    <row r="880" spans="4:4" ht="13" x14ac:dyDescent="0.15">
      <c r="D880" s="2"/>
    </row>
    <row r="881" spans="4:4" ht="13" x14ac:dyDescent="0.15">
      <c r="D881" s="2"/>
    </row>
    <row r="882" spans="4:4" ht="13" x14ac:dyDescent="0.15">
      <c r="D882" s="2"/>
    </row>
    <row r="883" spans="4:4" ht="13" x14ac:dyDescent="0.15">
      <c r="D883" s="2"/>
    </row>
    <row r="884" spans="4:4" ht="13" x14ac:dyDescent="0.15">
      <c r="D884" s="2"/>
    </row>
    <row r="885" spans="4:4" ht="13" x14ac:dyDescent="0.15">
      <c r="D885" s="2"/>
    </row>
    <row r="886" spans="4:4" ht="13" x14ac:dyDescent="0.15">
      <c r="D886" s="2"/>
    </row>
    <row r="887" spans="4:4" ht="13" x14ac:dyDescent="0.15">
      <c r="D887" s="2"/>
    </row>
    <row r="888" spans="4:4" ht="13" x14ac:dyDescent="0.15">
      <c r="D888" s="2"/>
    </row>
    <row r="889" spans="4:4" ht="13" x14ac:dyDescent="0.15">
      <c r="D889" s="2"/>
    </row>
    <row r="890" spans="4:4" ht="13" x14ac:dyDescent="0.15">
      <c r="D890" s="2"/>
    </row>
    <row r="891" spans="4:4" ht="13" x14ac:dyDescent="0.15">
      <c r="D891" s="2"/>
    </row>
    <row r="892" spans="4:4" ht="13" x14ac:dyDescent="0.15">
      <c r="D892" s="2"/>
    </row>
    <row r="893" spans="4:4" ht="13" x14ac:dyDescent="0.15">
      <c r="D893" s="2"/>
    </row>
    <row r="894" spans="4:4" ht="13" x14ac:dyDescent="0.15">
      <c r="D894" s="2"/>
    </row>
    <row r="895" spans="4:4" ht="13" x14ac:dyDescent="0.15">
      <c r="D895" s="2"/>
    </row>
    <row r="896" spans="4:4" ht="13" x14ac:dyDescent="0.15">
      <c r="D896" s="2"/>
    </row>
    <row r="897" spans="4:4" ht="13" x14ac:dyDescent="0.15">
      <c r="D897" s="2"/>
    </row>
    <row r="898" spans="4:4" ht="13" x14ac:dyDescent="0.15">
      <c r="D898" s="2"/>
    </row>
    <row r="899" spans="4:4" ht="13" x14ac:dyDescent="0.15">
      <c r="D899" s="2"/>
    </row>
    <row r="900" spans="4:4" ht="13" x14ac:dyDescent="0.15">
      <c r="D900" s="2"/>
    </row>
    <row r="901" spans="4:4" ht="13" x14ac:dyDescent="0.15">
      <c r="D901" s="2"/>
    </row>
    <row r="902" spans="4:4" ht="13" x14ac:dyDescent="0.15">
      <c r="D902" s="2"/>
    </row>
    <row r="903" spans="4:4" ht="13" x14ac:dyDescent="0.15">
      <c r="D903" s="2"/>
    </row>
    <row r="904" spans="4:4" ht="13" x14ac:dyDescent="0.15">
      <c r="D904" s="2"/>
    </row>
    <row r="905" spans="4:4" ht="13" x14ac:dyDescent="0.15">
      <c r="D905" s="2"/>
    </row>
    <row r="906" spans="4:4" ht="13" x14ac:dyDescent="0.15">
      <c r="D906" s="2"/>
    </row>
    <row r="907" spans="4:4" ht="13" x14ac:dyDescent="0.15">
      <c r="D907" s="2"/>
    </row>
    <row r="908" spans="4:4" ht="13" x14ac:dyDescent="0.15">
      <c r="D908" s="2"/>
    </row>
    <row r="909" spans="4:4" ht="13" x14ac:dyDescent="0.15">
      <c r="D909" s="2"/>
    </row>
    <row r="910" spans="4:4" ht="13" x14ac:dyDescent="0.15">
      <c r="D910" s="2"/>
    </row>
    <row r="911" spans="4:4" ht="13" x14ac:dyDescent="0.15">
      <c r="D911" s="2"/>
    </row>
    <row r="912" spans="4:4" ht="13" x14ac:dyDescent="0.15">
      <c r="D912" s="2"/>
    </row>
    <row r="913" spans="4:4" ht="13" x14ac:dyDescent="0.15">
      <c r="D913" s="2"/>
    </row>
    <row r="914" spans="4:4" ht="13" x14ac:dyDescent="0.15">
      <c r="D914" s="2"/>
    </row>
    <row r="915" spans="4:4" ht="13" x14ac:dyDescent="0.15">
      <c r="D915" s="2"/>
    </row>
    <row r="916" spans="4:4" ht="13" x14ac:dyDescent="0.15">
      <c r="D916" s="2"/>
    </row>
    <row r="917" spans="4:4" ht="13" x14ac:dyDescent="0.15">
      <c r="D917" s="2"/>
    </row>
    <row r="918" spans="4:4" ht="13" x14ac:dyDescent="0.15">
      <c r="D918" s="2"/>
    </row>
    <row r="919" spans="4:4" ht="13" x14ac:dyDescent="0.15">
      <c r="D919" s="2"/>
    </row>
    <row r="920" spans="4:4" ht="13" x14ac:dyDescent="0.15">
      <c r="D920" s="2"/>
    </row>
    <row r="921" spans="4:4" ht="13" x14ac:dyDescent="0.15">
      <c r="D921" s="2"/>
    </row>
    <row r="922" spans="4:4" ht="13" x14ac:dyDescent="0.15">
      <c r="D922" s="2"/>
    </row>
    <row r="923" spans="4:4" ht="13" x14ac:dyDescent="0.15">
      <c r="D923" s="2"/>
    </row>
    <row r="924" spans="4:4" ht="13" x14ac:dyDescent="0.15">
      <c r="D924" s="2"/>
    </row>
    <row r="925" spans="4:4" ht="13" x14ac:dyDescent="0.15">
      <c r="D925" s="2"/>
    </row>
    <row r="926" spans="4:4" ht="13" x14ac:dyDescent="0.15">
      <c r="D926" s="2"/>
    </row>
    <row r="927" spans="4:4" ht="13" x14ac:dyDescent="0.15">
      <c r="D927" s="2"/>
    </row>
    <row r="928" spans="4:4" ht="13" x14ac:dyDescent="0.15">
      <c r="D928" s="2"/>
    </row>
    <row r="929" spans="4:4" ht="13" x14ac:dyDescent="0.15">
      <c r="D929" s="2"/>
    </row>
    <row r="930" spans="4:4" ht="13" x14ac:dyDescent="0.15">
      <c r="D930" s="2"/>
    </row>
    <row r="931" spans="4:4" ht="13" x14ac:dyDescent="0.15">
      <c r="D931" s="2"/>
    </row>
    <row r="932" spans="4:4" ht="13" x14ac:dyDescent="0.15">
      <c r="D932" s="2"/>
    </row>
    <row r="933" spans="4:4" ht="13" x14ac:dyDescent="0.15">
      <c r="D933" s="2"/>
    </row>
    <row r="934" spans="4:4" ht="13" x14ac:dyDescent="0.15">
      <c r="D934" s="2"/>
    </row>
    <row r="935" spans="4:4" ht="13" x14ac:dyDescent="0.15">
      <c r="D935" s="2"/>
    </row>
    <row r="936" spans="4:4" ht="13" x14ac:dyDescent="0.15">
      <c r="D936" s="2"/>
    </row>
    <row r="937" spans="4:4" ht="13" x14ac:dyDescent="0.15">
      <c r="D937" s="2"/>
    </row>
    <row r="938" spans="4:4" ht="13" x14ac:dyDescent="0.15">
      <c r="D938" s="2"/>
    </row>
    <row r="939" spans="4:4" ht="13" x14ac:dyDescent="0.15">
      <c r="D939" s="2"/>
    </row>
    <row r="940" spans="4:4" ht="13" x14ac:dyDescent="0.15">
      <c r="D940" s="2"/>
    </row>
    <row r="941" spans="4:4" ht="13" x14ac:dyDescent="0.15">
      <c r="D941" s="2"/>
    </row>
    <row r="942" spans="4:4" ht="13" x14ac:dyDescent="0.15">
      <c r="D942" s="2"/>
    </row>
    <row r="943" spans="4:4" ht="13" x14ac:dyDescent="0.15">
      <c r="D943" s="2"/>
    </row>
    <row r="944" spans="4:4" ht="13" x14ac:dyDescent="0.15">
      <c r="D944" s="2"/>
    </row>
    <row r="945" spans="4:4" ht="13" x14ac:dyDescent="0.15">
      <c r="D945" s="2"/>
    </row>
    <row r="946" spans="4:4" ht="13" x14ac:dyDescent="0.15">
      <c r="D946" s="2"/>
    </row>
    <row r="947" spans="4:4" ht="13" x14ac:dyDescent="0.15">
      <c r="D947" s="2"/>
    </row>
    <row r="948" spans="4:4" ht="13" x14ac:dyDescent="0.15">
      <c r="D948" s="2"/>
    </row>
    <row r="949" spans="4:4" ht="13" x14ac:dyDescent="0.15">
      <c r="D949" s="2"/>
    </row>
    <row r="950" spans="4:4" ht="13" x14ac:dyDescent="0.15">
      <c r="D950" s="2"/>
    </row>
    <row r="951" spans="4:4" ht="13" x14ac:dyDescent="0.15">
      <c r="D951" s="2"/>
    </row>
    <row r="952" spans="4:4" ht="13" x14ac:dyDescent="0.15">
      <c r="D952" s="2"/>
    </row>
    <row r="953" spans="4:4" ht="13" x14ac:dyDescent="0.15">
      <c r="D953" s="2"/>
    </row>
    <row r="954" spans="4:4" ht="13" x14ac:dyDescent="0.15">
      <c r="D954" s="2"/>
    </row>
    <row r="955" spans="4:4" ht="13" x14ac:dyDescent="0.15">
      <c r="D955" s="2"/>
    </row>
    <row r="956" spans="4:4" ht="13" x14ac:dyDescent="0.15">
      <c r="D956" s="2"/>
    </row>
    <row r="957" spans="4:4" ht="13" x14ac:dyDescent="0.15">
      <c r="D957" s="2"/>
    </row>
    <row r="958" spans="4:4" ht="13" x14ac:dyDescent="0.15">
      <c r="D958" s="2"/>
    </row>
    <row r="959" spans="4:4" ht="13" x14ac:dyDescent="0.15">
      <c r="D959" s="2"/>
    </row>
    <row r="960" spans="4:4" ht="13" x14ac:dyDescent="0.15">
      <c r="D960" s="2"/>
    </row>
    <row r="961" spans="4:4" ht="13" x14ac:dyDescent="0.15">
      <c r="D961" s="2"/>
    </row>
    <row r="962" spans="4:4" ht="13" x14ac:dyDescent="0.15">
      <c r="D962" s="2"/>
    </row>
    <row r="963" spans="4:4" ht="13" x14ac:dyDescent="0.15">
      <c r="D963" s="2"/>
    </row>
    <row r="964" spans="4:4" ht="13" x14ac:dyDescent="0.15">
      <c r="D964" s="2"/>
    </row>
    <row r="965" spans="4:4" ht="13" x14ac:dyDescent="0.15">
      <c r="D965" s="2"/>
    </row>
    <row r="966" spans="4:4" ht="13" x14ac:dyDescent="0.15">
      <c r="D966" s="2"/>
    </row>
    <row r="967" spans="4:4" ht="13" x14ac:dyDescent="0.15">
      <c r="D967" s="2"/>
    </row>
    <row r="968" spans="4:4" ht="13" x14ac:dyDescent="0.15">
      <c r="D968" s="2"/>
    </row>
    <row r="969" spans="4:4" ht="13" x14ac:dyDescent="0.15">
      <c r="D969" s="2"/>
    </row>
    <row r="970" spans="4:4" ht="13" x14ac:dyDescent="0.15">
      <c r="D970" s="2"/>
    </row>
    <row r="971" spans="4:4" ht="13" x14ac:dyDescent="0.15">
      <c r="D971" s="2"/>
    </row>
    <row r="972" spans="4:4" ht="13" x14ac:dyDescent="0.15">
      <c r="D972" s="2"/>
    </row>
    <row r="973" spans="4:4" ht="13" x14ac:dyDescent="0.15">
      <c r="D973" s="2"/>
    </row>
    <row r="974" spans="4:4" ht="13" x14ac:dyDescent="0.15">
      <c r="D974" s="2"/>
    </row>
    <row r="975" spans="4:4" ht="13" x14ac:dyDescent="0.15">
      <c r="D975" s="2"/>
    </row>
    <row r="976" spans="4:4" ht="13" x14ac:dyDescent="0.15">
      <c r="D976" s="2"/>
    </row>
    <row r="977" spans="4:4" ht="13" x14ac:dyDescent="0.15">
      <c r="D977" s="2"/>
    </row>
    <row r="978" spans="4:4" ht="13" x14ac:dyDescent="0.15">
      <c r="D978" s="2"/>
    </row>
    <row r="979" spans="4:4" ht="13" x14ac:dyDescent="0.15">
      <c r="D979" s="2"/>
    </row>
    <row r="980" spans="4:4" ht="13" x14ac:dyDescent="0.15">
      <c r="D980" s="2"/>
    </row>
    <row r="981" spans="4:4" ht="13" x14ac:dyDescent="0.15">
      <c r="D981" s="2"/>
    </row>
    <row r="982" spans="4:4" ht="13" x14ac:dyDescent="0.15">
      <c r="D982" s="2"/>
    </row>
    <row r="983" spans="4:4" ht="13" x14ac:dyDescent="0.15">
      <c r="D983" s="2"/>
    </row>
    <row r="984" spans="4:4" ht="13" x14ac:dyDescent="0.15">
      <c r="D984" s="2"/>
    </row>
    <row r="985" spans="4:4" ht="13" x14ac:dyDescent="0.15">
      <c r="D985" s="2"/>
    </row>
    <row r="986" spans="4:4" ht="13" x14ac:dyDescent="0.15">
      <c r="D986" s="2"/>
    </row>
    <row r="987" spans="4:4" ht="13" x14ac:dyDescent="0.15">
      <c r="D987" s="2"/>
    </row>
    <row r="988" spans="4:4" ht="13" x14ac:dyDescent="0.15">
      <c r="D988" s="2"/>
    </row>
    <row r="989" spans="4:4" ht="13" x14ac:dyDescent="0.15">
      <c r="D989" s="2"/>
    </row>
    <row r="990" spans="4:4" ht="13" x14ac:dyDescent="0.15">
      <c r="D990" s="2"/>
    </row>
    <row r="991" spans="4:4" ht="13" x14ac:dyDescent="0.15">
      <c r="D991" s="2"/>
    </row>
    <row r="992" spans="4:4" ht="13" x14ac:dyDescent="0.15">
      <c r="D992" s="2"/>
    </row>
    <row r="993" spans="4:4" ht="13" x14ac:dyDescent="0.15">
      <c r="D993" s="2"/>
    </row>
    <row r="994" spans="4:4" ht="13" x14ac:dyDescent="0.15">
      <c r="D994" s="2"/>
    </row>
    <row r="995" spans="4:4" ht="13" x14ac:dyDescent="0.15">
      <c r="D995" s="2"/>
    </row>
    <row r="996" spans="4:4" ht="13" x14ac:dyDescent="0.15">
      <c r="D996" s="2"/>
    </row>
    <row r="997" spans="4:4" ht="13" x14ac:dyDescent="0.15">
      <c r="D997" s="2"/>
    </row>
    <row r="998" spans="4:4" ht="13" x14ac:dyDescent="0.15">
      <c r="D998" s="2"/>
    </row>
    <row r="999" spans="4:4" ht="13" x14ac:dyDescent="0.15">
      <c r="D999" s="2"/>
    </row>
    <row r="1000" spans="4:4" ht="13" x14ac:dyDescent="0.15">
      <c r="D1000" s="2"/>
    </row>
    <row r="1001" spans="4:4" ht="13" x14ac:dyDescent="0.15">
      <c r="D1001" s="2"/>
    </row>
    <row r="1002" spans="4:4" ht="13" x14ac:dyDescent="0.15">
      <c r="D1002" s="2"/>
    </row>
    <row r="1003" spans="4:4" ht="13" x14ac:dyDescent="0.15">
      <c r="D1003" s="2"/>
    </row>
  </sheetData>
  <hyperlinks>
    <hyperlink ref="L1" r:id="rId1" xr:uid="{00000000-0004-0000-0400-000000000000}"/>
    <hyperlink ref="L2" r:id="rId2" xr:uid="{00000000-0004-0000-0400-000001000000}"/>
    <hyperlink ref="L3" r:id="rId3" xr:uid="{00000000-0004-0000-0400-000002000000}"/>
    <hyperlink ref="D5" r:id="rId4" xr:uid="{00000000-0004-0000-0400-000003000000}"/>
    <hyperlink ref="L13" r:id="rId5" xr:uid="{00000000-0004-0000-0400-000004000000}"/>
    <hyperlink ref="C14" r:id="rId6" xr:uid="{00000000-0004-0000-0400-000005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889F-4BD2-C34F-BBBD-919F8B0BF13C}">
  <dimension ref="A1:B9"/>
  <sheetViews>
    <sheetView zoomScale="140" workbookViewId="0">
      <selection activeCell="D13" sqref="D13"/>
    </sheetView>
  </sheetViews>
  <sheetFormatPr baseColWidth="10" defaultRowHeight="13" x14ac:dyDescent="0.15"/>
  <sheetData>
    <row r="1" spans="1:2" x14ac:dyDescent="0.15">
      <c r="B1" s="6" t="s">
        <v>15</v>
      </c>
    </row>
    <row r="2" spans="1:2" x14ac:dyDescent="0.15">
      <c r="A2" s="6" t="s">
        <v>7</v>
      </c>
    </row>
    <row r="3" spans="1:2" x14ac:dyDescent="0.15">
      <c r="A3" s="6" t="s">
        <v>135</v>
      </c>
    </row>
    <row r="4" spans="1:2" x14ac:dyDescent="0.15">
      <c r="A4" s="6" t="s">
        <v>136</v>
      </c>
    </row>
    <row r="5" spans="1:2" x14ac:dyDescent="0.15">
      <c r="A5" s="6" t="s">
        <v>145</v>
      </c>
    </row>
    <row r="6" spans="1:2" x14ac:dyDescent="0.15">
      <c r="A6" s="32" t="s">
        <v>149</v>
      </c>
    </row>
    <row r="7" spans="1:2" x14ac:dyDescent="0.15">
      <c r="A7" s="6" t="s">
        <v>4</v>
      </c>
    </row>
    <row r="8" spans="1:2" x14ac:dyDescent="0.15">
      <c r="A8" s="6" t="s">
        <v>13</v>
      </c>
      <c r="B8" s="37">
        <f>main!D13*0.0485</f>
        <v>228.52018343050361</v>
      </c>
    </row>
    <row r="9" spans="1:2" x14ac:dyDescent="0.15">
      <c r="A9" s="6" t="s">
        <v>160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4D55-C3C8-7D43-AD5C-6DE43CEAE31B}">
  <dimension ref="A1:H17"/>
  <sheetViews>
    <sheetView topLeftCell="A4" zoomScale="131" workbookViewId="0">
      <selection activeCell="B1" sqref="B1"/>
    </sheetView>
  </sheetViews>
  <sheetFormatPr baseColWidth="10" defaultRowHeight="13" x14ac:dyDescent="0.15"/>
  <sheetData>
    <row r="1" spans="1:8" x14ac:dyDescent="0.15">
      <c r="A1" s="31" t="s">
        <v>107</v>
      </c>
      <c r="B1" s="16" t="s">
        <v>146</v>
      </c>
    </row>
    <row r="2" spans="1:8" x14ac:dyDescent="0.15">
      <c r="A2" s="17"/>
      <c r="B2" s="17" t="s">
        <v>15</v>
      </c>
      <c r="C2" s="17" t="s">
        <v>101</v>
      </c>
      <c r="D2" s="17" t="s">
        <v>107</v>
      </c>
      <c r="E2" s="17" t="s">
        <v>103</v>
      </c>
      <c r="F2" s="17" t="s">
        <v>104</v>
      </c>
      <c r="G2" s="17" t="s">
        <v>105</v>
      </c>
      <c r="H2" s="6" t="s">
        <v>106</v>
      </c>
    </row>
    <row r="3" spans="1:8" x14ac:dyDescent="0.15">
      <c r="A3" s="17" t="s">
        <v>84</v>
      </c>
      <c r="B3">
        <f>main!E3</f>
        <v>3868.9569088779981</v>
      </c>
      <c r="C3" s="6" t="s">
        <v>102</v>
      </c>
      <c r="E3" s="6">
        <v>3</v>
      </c>
    </row>
    <row r="4" spans="1:8" x14ac:dyDescent="0.15">
      <c r="A4" s="17" t="s">
        <v>99</v>
      </c>
      <c r="C4" s="6" t="s">
        <v>6</v>
      </c>
    </row>
    <row r="5" spans="1:8" x14ac:dyDescent="0.15">
      <c r="A5" s="17" t="s">
        <v>100</v>
      </c>
      <c r="C5" s="6" t="s">
        <v>102</v>
      </c>
      <c r="E5">
        <v>3</v>
      </c>
    </row>
    <row r="6" spans="1:8" x14ac:dyDescent="0.15">
      <c r="A6" s="6"/>
    </row>
    <row r="7" spans="1:8" x14ac:dyDescent="0.15">
      <c r="A7" s="31" t="s">
        <v>108</v>
      </c>
    </row>
    <row r="8" spans="1:8" s="17" customFormat="1" x14ac:dyDescent="0.15">
      <c r="A8" s="31"/>
      <c r="B8" s="17" t="s">
        <v>109</v>
      </c>
      <c r="C8" s="17" t="s">
        <v>110</v>
      </c>
      <c r="D8" s="17" t="s">
        <v>111</v>
      </c>
      <c r="E8" s="17" t="s">
        <v>112</v>
      </c>
    </row>
    <row r="9" spans="1:8" x14ac:dyDescent="0.15">
      <c r="A9" s="17" t="s">
        <v>84</v>
      </c>
    </row>
    <row r="10" spans="1:8" x14ac:dyDescent="0.15">
      <c r="A10" s="17" t="s">
        <v>113</v>
      </c>
    </row>
    <row r="17" spans="1:1" x14ac:dyDescent="0.15">
      <c r="A17" s="17"/>
    </row>
  </sheetData>
  <hyperlinks>
    <hyperlink ref="B1" r:id="rId1" display="see p 53" xr:uid="{19C1EF5E-2FE7-E04D-9C6E-C3EA6EEAD7C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C260-2581-564C-ACF3-BECD1E422B4A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C808-D685-934F-A266-52F6E3A4EDEF}">
  <dimension ref="A1:A5"/>
  <sheetViews>
    <sheetView zoomScale="125" workbookViewId="0">
      <selection activeCell="A4" sqref="A4"/>
    </sheetView>
  </sheetViews>
  <sheetFormatPr baseColWidth="10" defaultRowHeight="13" x14ac:dyDescent="0.15"/>
  <cols>
    <col min="1" max="1" width="17.33203125" bestFit="1" customWidth="1"/>
  </cols>
  <sheetData>
    <row r="1" spans="1:1" x14ac:dyDescent="0.15">
      <c r="A1" s="36" t="s">
        <v>142</v>
      </c>
    </row>
    <row r="2" spans="1:1" x14ac:dyDescent="0.15">
      <c r="A2" s="38" t="s">
        <v>143</v>
      </c>
    </row>
    <row r="3" spans="1:1" x14ac:dyDescent="0.15">
      <c r="A3" s="30" t="s">
        <v>144</v>
      </c>
    </row>
    <row r="4" spans="1:1" x14ac:dyDescent="0.15">
      <c r="A4" s="39" t="s">
        <v>157</v>
      </c>
    </row>
    <row r="5" spans="1:1" x14ac:dyDescent="0.15">
      <c r="A5" s="4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main</vt:lpstr>
      <vt:lpstr>Payload</vt:lpstr>
      <vt:lpstr>SC bus</vt:lpstr>
      <vt:lpstr>Power</vt:lpstr>
      <vt:lpstr>Thermal</vt:lpstr>
      <vt:lpstr>Instrumentation</vt:lpstr>
      <vt:lpstr>ACS</vt:lpstr>
      <vt:lpstr>Mirror mass</vt:lpstr>
      <vt:lpstr>mirror_trades0</vt:lpstr>
      <vt:lpstr>Misc</vt:lpstr>
      <vt:lpstr>Intertia+torque</vt:lpstr>
      <vt:lpstr>Launch systems</vt:lpstr>
      <vt:lpstr>Sheet50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Alison Andrade</cp:lastModifiedBy>
  <dcterms:created xsi:type="dcterms:W3CDTF">2026-02-11T19:12:11Z</dcterms:created>
  <dcterms:modified xsi:type="dcterms:W3CDTF">2026-10-23T00:26:49Z</dcterms:modified>
</cp:coreProperties>
</file>